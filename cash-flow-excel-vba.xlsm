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480" yWindow="195" windowWidth="18195" windowHeight="8445" activeTab="1"/>
  </bookViews>
  <sheets>
    <sheet name="TABELAS" sheetId="1" r:id="rId1"/>
    <sheet name="PAINEL" sheetId="2" r:id="rId2"/>
    <sheet name="DADOS" sheetId="3" r:id="rId3"/>
    <sheet name="TABELAS PARA GRAFICOS" sheetId="4" r:id="rId4"/>
    <sheet name="RELATORIO" sheetId="5" r:id="rId5"/>
  </sheets>
  <definedNames>
    <definedName name="_xlnm._FilterDatabase" localSheetId="2" hidden="1">DADOS!$A$3:$L$4</definedName>
    <definedName name="_xlnm._FilterDatabase" localSheetId="4" hidden="1">RELATORIO!$I$10:$T$10</definedName>
    <definedName name="AcumuladoAno">'TABELAS PARA GRAFICOS'!$O$27</definedName>
    <definedName name="Adiantamento">#REF!</definedName>
    <definedName name="Ano">PAINEL!$F$24</definedName>
    <definedName name="AnoFluxo">PAINEL!$F$2</definedName>
    <definedName name="Anos">tblAnos[ANOS]</definedName>
    <definedName name="Cheque">tblCheque[CHEQUE]</definedName>
    <definedName name="Comissão">#REF!</definedName>
    <definedName name="Consulta">#REF!</definedName>
    <definedName name="Crédito">tblCrédito[CRÉDITO]</definedName>
    <definedName name="_xlnm.Criteria" localSheetId="4">RELATORIO!$J$3:$N$4</definedName>
    <definedName name="CriterioAno">RELATORIO!$N$4</definedName>
    <definedName name="CriterioDespesa">RELATORIO!$K$4</definedName>
    <definedName name="CriterioDia">RELATORIO!$L$4</definedName>
    <definedName name="CriterioMes">RELATORIO!$M$4</definedName>
    <definedName name="CriterioReceita">RELATORIO!$J$4</definedName>
    <definedName name="Criterios">RELATORIO!$J$3:$N$4</definedName>
    <definedName name="Débito">tblDébito[DÉBITO]</definedName>
    <definedName name="Descricao">PAINEL!$B$20</definedName>
    <definedName name="Despesa">PAINEL!$B$18</definedName>
    <definedName name="DespesaAno">'TABELAS PARA GRAFICOS'!$O$25</definedName>
    <definedName name="Dia">PAINEL!$B$24</definedName>
    <definedName name="Dinheiro">tblDinheiro[DINHEIRO]</definedName>
    <definedName name="DisplayA">'TABELAS PARA GRAFICOS'!$D$36</definedName>
    <definedName name="DisplayD">'TABELAS PARA GRAFICOS'!$D$34</definedName>
    <definedName name="DisplayF">'TABELAS PARA GRAFICOS'!$D$35</definedName>
    <definedName name="DisplayG">'TABELAS PARA GRAFICOS'!$D$31</definedName>
    <definedName name="DisplayR">'TABELAS PARA GRAFICOS'!$D$33</definedName>
    <definedName name="Doutor">PAINEL!$B$12</definedName>
    <definedName name="Doutores">tblDoutores[DR° / DRª]</definedName>
    <definedName name="_xlnm.Extract" localSheetId="4">RELATORIO!$I$10:$T$10</definedName>
    <definedName name="FluxoAno">'TABELAS PARA GRAFICOS'!$O$26</definedName>
    <definedName name="FormaPagamento">PAINEL!$B$14</definedName>
    <definedName name="LocalRelatorio">RELATORIO!$I$10:$T$10</definedName>
    <definedName name="Mes">PAINEL!$D$24</definedName>
    <definedName name="Meses">tblMeses[MESES]</definedName>
    <definedName name="OpcaoGrafico">PAINEL!$F$6</definedName>
    <definedName name="Outros">#REF!</definedName>
    <definedName name="Pagamento">tblPagamento[FORMA PAGAMENTO]</definedName>
    <definedName name="Prazo">PAINEL!$B$16</definedName>
    <definedName name="ReceitaAno">'TABELAS PARA GRAFICOS'!$O$24</definedName>
    <definedName name="RelatorioAno">RELATORIO!$F$14</definedName>
    <definedName name="RelatorioDespesa">RELATORIO!$B$10</definedName>
    <definedName name="RelatorioDia">RELATORIO!$B$14</definedName>
    <definedName name="RelatorioMes">RELATORIO!$D$14</definedName>
    <definedName name="RelatorioReceita">RELATORIO!$B$8</definedName>
    <definedName name="Salário">#REF!</definedName>
    <definedName name="TGrafA">TABELAS!$B$48</definedName>
    <definedName name="TGrafDA">TABELAS!$B$49</definedName>
    <definedName name="TGrafDM">TABELAS!$B$47</definedName>
    <definedName name="TGrafFluxo">TABELAS!$B$50</definedName>
    <definedName name="TGrafM">TABELAS!$B$46</definedName>
    <definedName name="TipoEntrada">tblTipoEntrada[TIPO ENTRADA]</definedName>
    <definedName name="TipoReceita">PAINEL!$B$10</definedName>
    <definedName name="TipoSaida">tblTipoSaida[TIPO SAIDA]</definedName>
    <definedName name="TituloPainel">TABELAS!$B$1</definedName>
    <definedName name="Valor">PAINEL!$B$22</definedName>
    <definedName name="VisaoD">'TABELAS PARA GRAFICOS'!$C$34</definedName>
    <definedName name="VisaoF">'TABELAS PARA GRAFICOS'!$C$35</definedName>
    <definedName name="VisaoG">'TABELAS PARA GRAFICOS'!$C$31</definedName>
    <definedName name="VisaoL">'TABELAS PARA GRAFICOS'!$C$36</definedName>
    <definedName name="VisaoR">'TABELAS PARA GRAFICOS'!$C$33</definedName>
  </definedNames>
  <calcPr calcId="145621"/>
</workbook>
</file>

<file path=xl/calcChain.xml><?xml version="1.0" encoding="utf-8"?>
<calcChain xmlns="http://schemas.openxmlformats.org/spreadsheetml/2006/main">
  <c r="B48" i="1" l="1"/>
  <c r="M8" i="5" l="1"/>
  <c r="T8" i="5" l="1"/>
  <c r="C21" i="4" l="1"/>
  <c r="O23" i="4" s="1"/>
  <c r="C23" i="4" l="1"/>
  <c r="B50" i="1" l="1"/>
  <c r="B49" i="1"/>
  <c r="C39" i="4"/>
  <c r="C31" i="4" l="1"/>
  <c r="D31" i="4" s="1"/>
  <c r="N11" i="4"/>
  <c r="N12" i="4"/>
  <c r="N13" i="4"/>
  <c r="N14" i="4"/>
  <c r="N15" i="4"/>
  <c r="N16" i="4"/>
  <c r="N17" i="4"/>
  <c r="N18" i="4"/>
  <c r="M11" i="4"/>
  <c r="M12" i="4"/>
  <c r="M13" i="4"/>
  <c r="M14" i="4"/>
  <c r="M15" i="4"/>
  <c r="M16" i="4"/>
  <c r="M17" i="4"/>
  <c r="M18" i="4"/>
  <c r="L11" i="4"/>
  <c r="L12" i="4"/>
  <c r="L13" i="4"/>
  <c r="L14" i="4"/>
  <c r="L15" i="4"/>
  <c r="L16" i="4"/>
  <c r="L17" i="4"/>
  <c r="L18" i="4"/>
  <c r="K11" i="4"/>
  <c r="K12" i="4"/>
  <c r="K13" i="4"/>
  <c r="K14" i="4"/>
  <c r="K15" i="4"/>
  <c r="K16" i="4"/>
  <c r="K17" i="4"/>
  <c r="K18" i="4"/>
  <c r="J11" i="4"/>
  <c r="J12" i="4"/>
  <c r="J13" i="4"/>
  <c r="J14" i="4"/>
  <c r="J15" i="4"/>
  <c r="J16" i="4"/>
  <c r="J17" i="4"/>
  <c r="J18" i="4"/>
  <c r="I11" i="4"/>
  <c r="I12" i="4"/>
  <c r="I13" i="4"/>
  <c r="I14" i="4"/>
  <c r="I15" i="4"/>
  <c r="I16" i="4"/>
  <c r="I17" i="4"/>
  <c r="I18" i="4"/>
  <c r="H11" i="4"/>
  <c r="H12" i="4"/>
  <c r="H13" i="4"/>
  <c r="H14" i="4"/>
  <c r="H15" i="4"/>
  <c r="H16" i="4"/>
  <c r="H17" i="4"/>
  <c r="H18" i="4"/>
  <c r="G11" i="4"/>
  <c r="G12" i="4"/>
  <c r="G13" i="4"/>
  <c r="G14" i="4"/>
  <c r="G15" i="4"/>
  <c r="G16" i="4"/>
  <c r="G17" i="4"/>
  <c r="G18" i="4"/>
  <c r="F11" i="4"/>
  <c r="F12" i="4"/>
  <c r="F13" i="4"/>
  <c r="F14" i="4"/>
  <c r="F15" i="4"/>
  <c r="F16" i="4"/>
  <c r="F17" i="4"/>
  <c r="F18" i="4"/>
  <c r="E11" i="4"/>
  <c r="E12" i="4"/>
  <c r="E13" i="4"/>
  <c r="E14" i="4"/>
  <c r="E15" i="4"/>
  <c r="E16" i="4"/>
  <c r="E17" i="4"/>
  <c r="E18" i="4"/>
  <c r="D11" i="4"/>
  <c r="D12" i="4"/>
  <c r="D13" i="4"/>
  <c r="D14" i="4"/>
  <c r="D15" i="4"/>
  <c r="D16" i="4"/>
  <c r="D17" i="4"/>
  <c r="D18" i="4"/>
  <c r="C11" i="4"/>
  <c r="O11" i="4" s="1"/>
  <c r="C12" i="4"/>
  <c r="O12" i="4" s="1"/>
  <c r="C13" i="4"/>
  <c r="C14" i="4"/>
  <c r="O14" i="4" s="1"/>
  <c r="C15" i="4"/>
  <c r="O15" i="4" s="1"/>
  <c r="C16" i="4"/>
  <c r="C17" i="4"/>
  <c r="O17" i="4" s="1"/>
  <c r="C18" i="4"/>
  <c r="N5" i="4"/>
  <c r="N6" i="4"/>
  <c r="N7" i="4"/>
  <c r="N8" i="4"/>
  <c r="M5" i="4"/>
  <c r="M6" i="4"/>
  <c r="M7" i="4"/>
  <c r="M8" i="4"/>
  <c r="L5" i="4"/>
  <c r="L6" i="4"/>
  <c r="L7" i="4"/>
  <c r="L8" i="4"/>
  <c r="K5" i="4"/>
  <c r="K6" i="4"/>
  <c r="K7" i="4"/>
  <c r="K8" i="4"/>
  <c r="J5" i="4"/>
  <c r="J6" i="4"/>
  <c r="J7" i="4"/>
  <c r="J8" i="4"/>
  <c r="I5" i="4"/>
  <c r="I6" i="4"/>
  <c r="I7" i="4"/>
  <c r="I8" i="4"/>
  <c r="H5" i="4"/>
  <c r="H6" i="4"/>
  <c r="H7" i="4"/>
  <c r="H8" i="4"/>
  <c r="G5" i="4"/>
  <c r="G6" i="4"/>
  <c r="G7" i="4"/>
  <c r="G8" i="4"/>
  <c r="F5" i="4"/>
  <c r="F6" i="4"/>
  <c r="F7" i="4"/>
  <c r="F8" i="4"/>
  <c r="E5" i="4"/>
  <c r="E6" i="4"/>
  <c r="E7" i="4"/>
  <c r="E8" i="4"/>
  <c r="D5" i="4"/>
  <c r="D6" i="4"/>
  <c r="D7" i="4"/>
  <c r="D8" i="4"/>
  <c r="C5" i="4"/>
  <c r="C6" i="4"/>
  <c r="C7" i="4"/>
  <c r="C8" i="4"/>
  <c r="O6" i="4" l="1"/>
  <c r="O16" i="4"/>
  <c r="O7" i="4"/>
  <c r="O8" i="4"/>
  <c r="C46" i="4"/>
  <c r="C44" i="4"/>
  <c r="C42" i="4"/>
  <c r="C40" i="4"/>
  <c r="C47" i="4"/>
  <c r="C45" i="4"/>
  <c r="C43" i="4"/>
  <c r="C41" i="4"/>
  <c r="B46" i="1"/>
  <c r="B47" i="1"/>
  <c r="O13" i="4"/>
  <c r="O18" i="4"/>
  <c r="D25" i="4"/>
  <c r="F25" i="4"/>
  <c r="H25" i="4"/>
  <c r="J25" i="4"/>
  <c r="L25" i="4"/>
  <c r="N25" i="4"/>
  <c r="E25" i="4"/>
  <c r="G25" i="4"/>
  <c r="I25" i="4"/>
  <c r="K25" i="4"/>
  <c r="M25" i="4"/>
  <c r="D24" i="4"/>
  <c r="E24" i="4"/>
  <c r="E26" i="4" s="1"/>
  <c r="G24" i="4"/>
  <c r="G26" i="4" s="1"/>
  <c r="I24" i="4"/>
  <c r="I26" i="4" s="1"/>
  <c r="K24" i="4"/>
  <c r="M24" i="4"/>
  <c r="M26" i="4" s="1"/>
  <c r="F24" i="4"/>
  <c r="F26" i="4" s="1"/>
  <c r="H24" i="4"/>
  <c r="H26" i="4" s="1"/>
  <c r="J24" i="4"/>
  <c r="J26" i="4" s="1"/>
  <c r="L24" i="4"/>
  <c r="L26" i="4" s="1"/>
  <c r="N24" i="4"/>
  <c r="N26" i="4" s="1"/>
  <c r="C24" i="4"/>
  <c r="C25" i="4"/>
  <c r="O5" i="4"/>
  <c r="K26" i="4" l="1"/>
  <c r="D26" i="4"/>
  <c r="C27" i="4"/>
  <c r="D23" i="4" s="1"/>
  <c r="D27" i="4" s="1"/>
  <c r="E23" i="4" s="1"/>
  <c r="E27" i="4" s="1"/>
  <c r="F23" i="4" s="1"/>
  <c r="F27" i="4" s="1"/>
  <c r="G23" i="4" s="1"/>
  <c r="G27" i="4" s="1"/>
  <c r="H23" i="4" s="1"/>
  <c r="H27" i="4" s="1"/>
  <c r="I23" i="4" s="1"/>
  <c r="I27" i="4" s="1"/>
  <c r="J23" i="4" s="1"/>
  <c r="J27" i="4" s="1"/>
  <c r="K23" i="4" s="1"/>
  <c r="K27" i="4" s="1"/>
  <c r="L23" i="4" s="1"/>
  <c r="L27" i="4" s="1"/>
  <c r="M23" i="4" s="1"/>
  <c r="M27" i="4" s="1"/>
  <c r="N23" i="4" s="1"/>
  <c r="O25" i="4"/>
  <c r="C34" i="4"/>
  <c r="C33" i="4"/>
  <c r="C26" i="4"/>
  <c r="O24" i="4"/>
  <c r="C35" i="4" l="1"/>
  <c r="I32" i="4" s="1"/>
  <c r="D33" i="4"/>
  <c r="D34" i="4"/>
  <c r="N27" i="4"/>
  <c r="C32" i="4"/>
  <c r="O26" i="4"/>
  <c r="D35" i="4" l="1"/>
  <c r="O27" i="4"/>
  <c r="C36" i="4"/>
  <c r="D36" i="4" s="1"/>
</calcChain>
</file>

<file path=xl/sharedStrings.xml><?xml version="1.0" encoding="utf-8"?>
<sst xmlns="http://schemas.openxmlformats.org/spreadsheetml/2006/main" count="190" uniqueCount="78">
  <si>
    <t>MAPEAMENTO</t>
  </si>
  <si>
    <t>CONVÊNIO</t>
  </si>
  <si>
    <t>TIPO ENTRADA</t>
  </si>
  <si>
    <t>DINHEIRO</t>
  </si>
  <si>
    <t>CHEQUE</t>
  </si>
  <si>
    <t>DÉBITO</t>
  </si>
  <si>
    <t>CRÉDITO</t>
  </si>
  <si>
    <t>À VISTA</t>
  </si>
  <si>
    <t>30 DIAS</t>
  </si>
  <si>
    <t>2X</t>
  </si>
  <si>
    <t>3X</t>
  </si>
  <si>
    <t>TIPO SAIDA</t>
  </si>
  <si>
    <t>ALUGUEL</t>
  </si>
  <si>
    <t>ÁGUA</t>
  </si>
  <si>
    <t>LUZ</t>
  </si>
  <si>
    <t>TELEFONE</t>
  </si>
  <si>
    <t>SALÁRIO</t>
  </si>
  <si>
    <t>COMISSÃO</t>
  </si>
  <si>
    <t>ADIANTAMENTO</t>
  </si>
  <si>
    <t>OUTROS</t>
  </si>
  <si>
    <t>FORMA DE PAGAMENTO</t>
  </si>
  <si>
    <t>PRAZO</t>
  </si>
  <si>
    <t>DESPESA</t>
  </si>
  <si>
    <t>DESCRIÇÃO</t>
  </si>
  <si>
    <t>DIA</t>
  </si>
  <si>
    <t>MÊS</t>
  </si>
  <si>
    <t>ANO</t>
  </si>
  <si>
    <t>FEVEREIRO</t>
  </si>
  <si>
    <t>VALOR</t>
  </si>
  <si>
    <t>JANEIRO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</si>
  <si>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</si>
  <si>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</si>
  <si>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</si>
  <si>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</si>
  <si>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</si>
  <si>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</si>
  <si>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</si>
  <si>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</si>
  <si>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</si>
  <si>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</si>
  <si>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</si>
  <si>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DR° / DRª</t>
  </si>
  <si>
    <t>LOPEZ</t>
  </si>
  <si>
    <t>ÉDNA</t>
  </si>
  <si>
    <t>CONSULTA PARTICULAR</t>
  </si>
  <si>
    <t>FORMA PAGAMENTO</t>
  </si>
  <si>
    <t>CÓDIGO</t>
  </si>
  <si>
    <t>NOME DOUTOR</t>
  </si>
  <si>
    <t>TIPO DE RECEITAS</t>
  </si>
  <si>
    <t>RECEITA</t>
  </si>
  <si>
    <t>LENTE DE CONTATO</t>
  </si>
  <si>
    <t>DATA DE REGISTRO</t>
  </si>
  <si>
    <t>TOTAL</t>
  </si>
  <si>
    <t>TABELAS PARA GRÁFICOS</t>
  </si>
  <si>
    <t>BANCO DE DADOS</t>
  </si>
  <si>
    <t>VALOR INICIAL</t>
  </si>
  <si>
    <t>TOTAL DAS RECEITAS</t>
  </si>
  <si>
    <t>TOTAL DAS DESPESAS</t>
  </si>
  <si>
    <t>FLUXO DE CAIXA</t>
  </si>
  <si>
    <t>REFERÊNCIA</t>
  </si>
  <si>
    <t>TÍTULOS DOS GRÁFICOS</t>
  </si>
  <si>
    <t>1. GrafM</t>
  </si>
  <si>
    <t>2. GrafDM</t>
  </si>
  <si>
    <t>3. GrafA</t>
  </si>
  <si>
    <t>4. GrafDA</t>
  </si>
  <si>
    <t>5. GrafFluxo</t>
  </si>
  <si>
    <t>SALDO ANTERIOR</t>
  </si>
  <si>
    <t>SALDO ACUMULADO</t>
  </si>
  <si>
    <t>ANOS</t>
  </si>
  <si>
    <t>VALOR INICIAL OU ANTERIOR</t>
  </si>
  <si>
    <t>BASE</t>
  </si>
  <si>
    <t>%</t>
  </si>
  <si>
    <t>RELATÓRIO DO FLUXO DE CAIXA</t>
  </si>
  <si>
    <t>Resultado</t>
  </si>
  <si>
    <t>TABELAS</t>
  </si>
  <si>
    <t>RELATÓRIOS</t>
  </si>
  <si>
    <t>teste</t>
  </si>
  <si>
    <t>24/11/2015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</si>
</sst>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R$-416]\ #,##0.00"/>
    <numFmt numFmtId="165" formatCode="00000000"/>
    <numFmt numFmtId="166" formatCode="dd/mm/yy;@"/>
    <numFmt numFmtId="167" formatCode=";;;"/>
    <numFmt numFmtId="168" formatCode="d/m/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2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22"/>
      <color theme="1"/>
      <name val="Arial"/>
      <family val="2"/>
    </font>
    <font>
      <b/>
      <sz val="26"/>
      <color theme="3"/>
      <name val="Arial"/>
      <family val="2"/>
    </font>
    <font>
      <sz val="26"/>
      <color theme="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/>
    <xf numFmtId="165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  <xf numFmtId="164" fontId="0" fillId="0" borderId="0" xfId="0" applyNumberFormat="1"/>
    <xf numFmtId="164" fontId="0" fillId="8" borderId="0" xfId="0" applyNumberFormat="1" applyFill="1"/>
    <xf numFmtId="164" fontId="0" fillId="10" borderId="0" xfId="0" applyNumberFormat="1" applyFill="1"/>
    <xf numFmtId="0" fontId="0" fillId="11" borderId="0" xfId="0" applyFill="1"/>
    <xf numFmtId="0" fontId="3" fillId="11" borderId="0" xfId="0" applyFont="1" applyFill="1" applyAlignment="1">
      <alignment vertical="center"/>
    </xf>
    <xf numFmtId="165" fontId="0" fillId="11" borderId="0" xfId="0" applyNumberFormat="1" applyFill="1" applyAlignment="1">
      <alignment horizontal="center"/>
    </xf>
    <xf numFmtId="164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166" fontId="0" fillId="11" borderId="0" xfId="0" applyNumberFormat="1" applyFill="1"/>
    <xf numFmtId="0" fontId="0" fillId="12" borderId="0" xfId="0" applyFill="1"/>
    <xf numFmtId="164" fontId="0" fillId="12" borderId="0" xfId="0" applyNumberFormat="1" applyFill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9" borderId="1" xfId="0" applyFill="1" applyBorder="1"/>
    <xf numFmtId="0" fontId="0" fillId="16" borderId="1" xfId="0" applyFill="1" applyBorder="1"/>
    <xf numFmtId="164" fontId="0" fillId="14" borderId="1" xfId="0" applyNumberFormat="1" applyFill="1" applyBorder="1"/>
    <xf numFmtId="164" fontId="0" fillId="15" borderId="1" xfId="0" applyNumberFormat="1" applyFill="1" applyBorder="1"/>
    <xf numFmtId="164" fontId="0" fillId="9" borderId="1" xfId="0" applyNumberFormat="1" applyFill="1" applyBorder="1"/>
    <xf numFmtId="164" fontId="0" fillId="16" borderId="1" xfId="0" applyNumberFormat="1" applyFill="1" applyBorder="1"/>
    <xf numFmtId="164" fontId="0" fillId="13" borderId="1" xfId="0" applyNumberFormat="1" applyFill="1" applyBorder="1"/>
    <xf numFmtId="0" fontId="0" fillId="12" borderId="0" xfId="0" applyNumberFormat="1" applyFill="1" applyAlignment="1">
      <alignment horizontal="right"/>
    </xf>
    <xf numFmtId="0" fontId="0" fillId="13" borderId="1" xfId="0" applyFill="1" applyBorder="1" applyAlignment="1">
      <alignment horizontal="right"/>
    </xf>
    <xf numFmtId="164" fontId="0" fillId="14" borderId="1" xfId="0" applyNumberFormat="1" applyFill="1" applyBorder="1" applyAlignment="1">
      <alignment horizontal="right"/>
    </xf>
    <xf numFmtId="164" fontId="0" fillId="15" borderId="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0" fillId="16" borderId="1" xfId="0" applyNumberFormat="1" applyFill="1" applyBorder="1" applyAlignment="1">
      <alignment horizontal="right"/>
    </xf>
    <xf numFmtId="0" fontId="0" fillId="0" borderId="2" xfId="0" applyFont="1" applyBorder="1"/>
    <xf numFmtId="0" fontId="0" fillId="17" borderId="2" xfId="0" applyFont="1" applyFill="1" applyBorder="1"/>
    <xf numFmtId="0" fontId="4" fillId="18" borderId="2" xfId="0" applyFont="1" applyFill="1" applyBorder="1"/>
    <xf numFmtId="0" fontId="4" fillId="18" borderId="3" xfId="0" applyFont="1" applyFill="1" applyBorder="1" applyAlignment="1">
      <alignment horizontal="right"/>
    </xf>
    <xf numFmtId="164" fontId="4" fillId="18" borderId="3" xfId="0" applyNumberFormat="1" applyFont="1" applyFill="1" applyBorder="1"/>
    <xf numFmtId="164" fontId="0" fillId="13" borderId="1" xfId="0" applyNumberFormat="1" applyFill="1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0" fontId="0" fillId="19" borderId="1" xfId="0" applyFill="1" applyBorder="1"/>
    <xf numFmtId="164" fontId="0" fillId="19" borderId="1" xfId="0" applyNumberFormat="1" applyFill="1" applyBorder="1"/>
    <xf numFmtId="0" fontId="0" fillId="2" borderId="0" xfId="0" applyFill="1" applyAlignment="1">
      <alignment horizontal="center" vertical="center"/>
    </xf>
    <xf numFmtId="0" fontId="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5" fillId="20" borderId="1" xfId="0" applyFont="1" applyFill="1" applyBorder="1" applyAlignment="1">
      <alignment horizontal="center" vertical="top"/>
    </xf>
    <xf numFmtId="164" fontId="5" fillId="20" borderId="1" xfId="0" applyNumberFormat="1" applyFont="1" applyFill="1" applyBorder="1" applyAlignment="1">
      <alignment horizontal="center" vertical="top"/>
    </xf>
    <xf numFmtId="0" fontId="1" fillId="0" borderId="0" xfId="0" applyFont="1"/>
    <xf numFmtId="14" fontId="1" fillId="0" borderId="0" xfId="0" applyNumberFormat="1" applyFont="1"/>
    <xf numFmtId="165" fontId="6" fillId="20" borderId="1" xfId="0" applyNumberFormat="1" applyFont="1" applyFill="1" applyBorder="1" applyAlignment="1">
      <alignment horizontal="center" vertical="top"/>
    </xf>
    <xf numFmtId="0" fontId="6" fillId="20" borderId="1" xfId="0" applyFont="1" applyFill="1" applyBorder="1" applyAlignment="1">
      <alignment horizontal="center" vertical="top"/>
    </xf>
    <xf numFmtId="164" fontId="6" fillId="20" borderId="1" xfId="0" applyNumberFormat="1" applyFont="1" applyFill="1" applyBorder="1" applyAlignment="1">
      <alignment horizontal="center" vertical="top"/>
    </xf>
    <xf numFmtId="0" fontId="0" fillId="0" borderId="8" xfId="0" applyBorder="1"/>
    <xf numFmtId="0" fontId="1" fillId="0" borderId="8" xfId="0" applyFont="1" applyBorder="1"/>
    <xf numFmtId="165" fontId="7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67" fontId="0" fillId="0" borderId="8" xfId="0" applyNumberFormat="1" applyBorder="1"/>
    <xf numFmtId="167" fontId="0" fillId="0" borderId="0" xfId="0" applyNumberFormat="1"/>
    <xf numFmtId="165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10" fillId="11" borderId="0" xfId="0" applyFont="1" applyFill="1" applyAlignment="1">
      <alignment vertical="center"/>
    </xf>
    <xf numFmtId="0" fontId="11" fillId="11" borderId="0" xfId="0" applyFont="1" applyFill="1"/>
    <xf numFmtId="0" fontId="0" fillId="0" borderId="0" xfId="0" applyFill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Fill="1" applyAlignment="1">
      <alignment horizontal="left"/>
    </xf>
    <xf numFmtId="0" fontId="0" fillId="0" borderId="4" xfId="0" applyFill="1" applyBorder="1"/>
    <xf numFmtId="0" fontId="0" fillId="0" borderId="1" xfId="0" applyFill="1" applyBorder="1"/>
    <xf numFmtId="0" fontId="10" fillId="11" borderId="0" xfId="0" applyFont="1" applyFill="1" applyAlignment="1">
      <alignment horizontal="center" vertical="center"/>
    </xf>
    <xf numFmtId="0" fontId="0" fillId="5" borderId="0" xfId="0" applyFill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0" fillId="4" borderId="0" xfId="0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4" fontId="0" fillId="5" borderId="0" xfId="0" applyNumberFormat="1" applyFill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0" fillId="7" borderId="0" xfId="0" applyFill="1" applyAlignment="1" applyProtection="1">
      <alignment vertical="center"/>
    </xf>
    <xf numFmtId="0" fontId="7" fillId="2" borderId="0" xfId="0" applyFont="1" applyFill="1" applyAlignment="1" applyProtection="1">
      <alignment horizontal="center" vertical="center"/>
    </xf>
    <xf numFmtId="0" fontId="0" fillId="0" borderId="0" xfId="0" applyFont="1" applyFill="1"/>
    <xf numFmtId="168" fontId="0" fillId="11" borderId="0" xfId="0" applyNumberFormat="1" applyFill="1"/>
    <xf numFmtId="168" fontId="0" fillId="0" borderId="0" xfId="0" applyNumberFormat="1" applyAlignment="1">
      <alignment horizontal="center" vertical="top"/>
    </xf>
    <xf numFmtId="168" fontId="7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168" fontId="0" fillId="0" borderId="0" xfId="0" applyNumberFormat="1"/>
    <xf numFmtId="0" fontId="9" fillId="5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164" fontId="0" fillId="2" borderId="0" xfId="0" applyNumberFormat="1" applyFill="1" applyAlignment="1" applyProtection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10" fillId="11" borderId="0" xfId="0" applyFont="1" applyFill="1" applyAlignment="1">
      <alignment horizontal="center" vertical="center"/>
    </xf>
  </cellXfs>
  <cellStyles count="1">
    <cellStyle name="Normal" xfId="0" builtinId="0"/>
  </cellStyles>
  <dxfs count="71">
    <dxf>
      <numFmt numFmtId="164" formatCode="[$R$-416]\ #,##0.00"/>
      <fill>
        <patternFill patternType="solid">
          <fgColor indexed="64"/>
          <bgColor theme="5" tint="0.39997558519241921"/>
        </patternFill>
      </fill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  <fill>
        <patternFill patternType="solid">
          <fgColor indexed="64"/>
          <bgColor theme="8" tint="0.39997558519241921"/>
        </patternFill>
      </fill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numFmt numFmtId="164" formatCode="[$R$-416]\ #,##0.0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/m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[$R$-416]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[$R$-416]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000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56624274120267"/>
          <c:y val="6.3715551181102364E-2"/>
          <c:w val="0.74537609247581049"/>
          <c:h val="0.8242823162729658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F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</c:dPt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PARA GRAFICOS'!$B$33:$B$35</c:f>
              <c:strCache>
                <c:ptCount val="3"/>
                <c:pt idx="0">
                  <c:v>TOTAL DAS RECEITAS</c:v>
                </c:pt>
                <c:pt idx="1">
                  <c:v>TOTAL DAS DESPESAS</c:v>
                </c:pt>
                <c:pt idx="2">
                  <c:v>FLUXO DE CAIXA</c:v>
                </c:pt>
              </c:strCache>
            </c:strRef>
          </c:cat>
          <c:val>
            <c:numRef>
              <c:f>'TABELAS PARA GRAFICOS'!$C$33:$C$35</c:f>
              <c:numCache>
                <c:formatCode>[$R$-416]\ #,##0.00</c:formatCode>
                <c:ptCount val="3"/>
                <c:pt idx="0">
                  <c:v>300</c:v>
                </c:pt>
                <c:pt idx="1">
                  <c:v>0</c:v>
                </c:pt>
                <c:pt idx="2">
                  <c:v>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7728"/>
        <c:axId val="86539264"/>
      </c:barChart>
      <c:catAx>
        <c:axId val="86537728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/>
          <a:lstStyle/>
          <a:p>
            <a:pPr>
              <a:defRPr b="1" i="0" spc="50" baseline="0"/>
            </a:pPr>
            <a:endParaRPr lang="pt-BR"/>
          </a:p>
        </c:txPr>
        <c:crossAx val="86539264"/>
        <c:crosses val="autoZero"/>
        <c:auto val="1"/>
        <c:lblAlgn val="ctr"/>
        <c:lblOffset val="100"/>
        <c:noMultiLvlLbl val="0"/>
      </c:catAx>
      <c:valAx>
        <c:axId val="86539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VALORES EM REAIS R$</a:t>
                </a:r>
              </a:p>
            </c:rich>
          </c:tx>
          <c:layout>
            <c:manualLayout>
              <c:xMode val="edge"/>
              <c:yMode val="edge"/>
              <c:x val="1.1512364817696451E-2"/>
              <c:y val="0.2861605971128609"/>
            </c:manualLayout>
          </c:layout>
          <c:overlay val="0"/>
        </c:title>
        <c:numFmt formatCode="[$R$-416]\ #,##0.00" sourceLinked="1"/>
        <c:majorTickMark val="out"/>
        <c:minorTickMark val="none"/>
        <c:tickLblPos val="nextTo"/>
        <c:crossAx val="86537728"/>
        <c:crosses val="autoZero"/>
        <c:crossBetween val="between"/>
      </c:valAx>
      <c:spPr>
        <a:noFill/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glow rad="101600">
        <a:schemeClr val="accent5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850829848049409"/>
          <c:y val="6.6328193350831136E-2"/>
          <c:w val="0.80973106848290843"/>
          <c:h val="0.7109640026646307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numFmt formatCode="[$R$-416]\ #,##0.00" sourceLinked="0"/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'TABELAS PARA GRAFICOS'!$B$40:$B$47</c:f>
              <c:strCache>
                <c:ptCount val="8"/>
                <c:pt idx="0">
                  <c:v>ALUGUEL</c:v>
                </c:pt>
                <c:pt idx="1">
                  <c:v>ÁGUA</c:v>
                </c:pt>
                <c:pt idx="2">
                  <c:v>LUZ</c:v>
                </c:pt>
                <c:pt idx="3">
                  <c:v>TELEFONE</c:v>
                </c:pt>
                <c:pt idx="4">
                  <c:v>SALÁRIO</c:v>
                </c:pt>
                <c:pt idx="5">
                  <c:v>COMISSÃO</c:v>
                </c:pt>
                <c:pt idx="6">
                  <c:v>ADIANTAMENTO</c:v>
                </c:pt>
                <c:pt idx="7">
                  <c:v>OUTROS</c:v>
                </c:pt>
              </c:strCache>
            </c:strRef>
          </c:cat>
          <c:val>
            <c:numRef>
              <c:f>'TABELAS PARA GRAFICOS'!$C$40:$C$47</c:f>
              <c:numCache>
                <c:formatCode>[$R$-416]\ 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6054784"/>
        <c:axId val="86057728"/>
      </c:barChart>
      <c:catAx>
        <c:axId val="860547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 i="0" baseline="0"/>
            </a:pPr>
            <a:endParaRPr lang="pt-BR"/>
          </a:p>
        </c:txPr>
        <c:crossAx val="86057728"/>
        <c:crosses val="autoZero"/>
        <c:auto val="1"/>
        <c:lblAlgn val="ctr"/>
        <c:lblOffset val="100"/>
        <c:noMultiLvlLbl val="0"/>
      </c:catAx>
      <c:valAx>
        <c:axId val="86057728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VALORES EM REAIS R$</a:t>
                </a:r>
              </a:p>
            </c:rich>
          </c:tx>
          <c:layout>
            <c:manualLayout>
              <c:xMode val="edge"/>
              <c:yMode val="edge"/>
              <c:x val="1.582591493570722E-2"/>
              <c:y val="0.22297790901137357"/>
            </c:manualLayout>
          </c:layout>
          <c:overlay val="0"/>
        </c:title>
        <c:numFmt formatCode="[$R$-416]\ #,##0.00" sourceLinked="0"/>
        <c:majorTickMark val="out"/>
        <c:minorTickMark val="none"/>
        <c:tickLblPos val="nextTo"/>
        <c:crossAx val="86054784"/>
        <c:crosses val="autoZero"/>
        <c:crossBetween val="between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ysClr val="windowText" lastClr="000000"/>
      </a:solidFill>
      <a:prstDash val="solid"/>
    </a:ln>
    <a:effectLst>
      <a:glow rad="101600">
        <a:schemeClr val="accent5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24384174200448"/>
          <c:y val="7.3082319255547604E-2"/>
          <c:w val="0.56866973850490921"/>
          <c:h val="0.730891911238367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PARA GRAFICOS'!$B$24</c:f>
              <c:strCache>
                <c:ptCount val="1"/>
                <c:pt idx="0">
                  <c:v>TOTAL DAS RECEITAS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cat>
            <c:strRef>
              <c:f>'TABELAS PARA GRAFICOS'!$C$22:$N$22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PARA GRAFICOS'!$C$24:$N$24</c:f>
              <c:numCache>
                <c:formatCode>[$R$-416]\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PARA GRAFICOS'!$B$25</c:f>
              <c:strCache>
                <c:ptCount val="1"/>
                <c:pt idx="0">
                  <c:v>TOTAL DAS DESPESAS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'TABELAS PARA GRAFICOS'!$C$22:$N$22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PARA GRAFICOS'!$C$25:$N$25</c:f>
              <c:numCache>
                <c:formatCode>[$R$-416]\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PARA GRAFICOS'!$B$26</c:f>
              <c:strCache>
                <c:ptCount val="1"/>
                <c:pt idx="0">
                  <c:v>FLUXO DE CAIXA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'TABELAS PARA GRAFICOS'!$C$22:$N$22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PARA GRAFICOS'!$C$26:$N$26</c:f>
              <c:numCache>
                <c:formatCode>[$R$-416]\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426944"/>
        <c:axId val="87428480"/>
      </c:barChart>
      <c:catAx>
        <c:axId val="87426944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/>
          <a:lstStyle/>
          <a:p>
            <a:pPr>
              <a:defRPr b="1" i="0" baseline="0"/>
            </a:pPr>
            <a:endParaRPr lang="pt-BR"/>
          </a:p>
        </c:txPr>
        <c:crossAx val="87428480"/>
        <c:crosses val="autoZero"/>
        <c:auto val="1"/>
        <c:lblAlgn val="ctr"/>
        <c:lblOffset val="100"/>
        <c:noMultiLvlLbl val="0"/>
      </c:catAx>
      <c:valAx>
        <c:axId val="87428480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VALORES EM REAIS R$</a:t>
                </a:r>
              </a:p>
            </c:rich>
          </c:tx>
          <c:layout>
            <c:manualLayout>
              <c:xMode val="edge"/>
              <c:yMode val="edge"/>
              <c:x val="2.1728395061728394E-2"/>
              <c:y val="0.26664076081398919"/>
            </c:manualLayout>
          </c:layout>
          <c:overlay val="0"/>
        </c:title>
        <c:numFmt formatCode="[$R$-416]\ #,##0.00" sourceLinked="1"/>
        <c:majorTickMark val="out"/>
        <c:minorTickMark val="none"/>
        <c:tickLblPos val="nextTo"/>
        <c:crossAx val="87426944"/>
        <c:crosses val="autoZero"/>
        <c:crossBetween val="between"/>
      </c:valAx>
      <c:spPr>
        <a:noFill/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glow rad="101600">
        <a:schemeClr val="accent5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17470593953533"/>
          <c:y val="7.6545522718751063E-2"/>
          <c:w val="0.78024504714688436"/>
          <c:h val="0.70296287964004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'TABELAS PARA GRAFICOS'!$B$11:$B$18</c:f>
              <c:strCache>
                <c:ptCount val="8"/>
                <c:pt idx="0">
                  <c:v>ALUGUEL</c:v>
                </c:pt>
                <c:pt idx="1">
                  <c:v>ÁGUA</c:v>
                </c:pt>
                <c:pt idx="2">
                  <c:v>LUZ</c:v>
                </c:pt>
                <c:pt idx="3">
                  <c:v>TELEFONE</c:v>
                </c:pt>
                <c:pt idx="4">
                  <c:v>SALÁRIO</c:v>
                </c:pt>
                <c:pt idx="5">
                  <c:v>COMISSÃO</c:v>
                </c:pt>
                <c:pt idx="6">
                  <c:v>ADIANTAMENTO</c:v>
                </c:pt>
                <c:pt idx="7">
                  <c:v>OUTROS</c:v>
                </c:pt>
              </c:strCache>
            </c:strRef>
          </c:cat>
          <c:val>
            <c:numRef>
              <c:f>'TABELAS PARA GRAFICOS'!$O$11:$O$18</c:f>
              <c:numCache>
                <c:formatCode>[$R$-416]\ 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7462272"/>
        <c:axId val="87463808"/>
      </c:barChart>
      <c:catAx>
        <c:axId val="874622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 i="0" baseline="0"/>
            </a:pPr>
            <a:endParaRPr lang="pt-BR"/>
          </a:p>
        </c:txPr>
        <c:crossAx val="87463808"/>
        <c:crosses val="autoZero"/>
        <c:auto val="1"/>
        <c:lblAlgn val="ctr"/>
        <c:lblOffset val="100"/>
        <c:noMultiLvlLbl val="0"/>
      </c:catAx>
      <c:valAx>
        <c:axId val="8746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VALORES EM REAIS R$</a:t>
                </a:r>
              </a:p>
            </c:rich>
          </c:tx>
          <c:layout>
            <c:manualLayout>
              <c:xMode val="edge"/>
              <c:yMode val="edge"/>
              <c:x val="1.580246913580247E-2"/>
              <c:y val="0.22598084330367796"/>
            </c:manualLayout>
          </c:layout>
          <c:overlay val="0"/>
        </c:title>
        <c:numFmt formatCode="[$R$-416]\ #,##0.00" sourceLinked="1"/>
        <c:majorTickMark val="out"/>
        <c:minorTickMark val="none"/>
        <c:tickLblPos val="nextTo"/>
        <c:crossAx val="87462272"/>
        <c:crosses val="autoZero"/>
        <c:crossBetween val="between"/>
      </c:valAx>
      <c:spPr>
        <a:noFill/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glow rad="101600">
        <a:schemeClr val="accent5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46082073568696"/>
          <c:y val="6.6328193350831136E-2"/>
          <c:w val="0.76595263129200841"/>
          <c:h val="0.726718886701662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</c:spPr>
          <c:invertIfNegative val="0"/>
          <c:cat>
            <c:strRef>
              <c:f>'TABELAS PARA GRAFICOS'!$C$22:$N$22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PARA GRAFICOS'!$C$26:$N$26</c:f>
              <c:numCache>
                <c:formatCode>[$R$-416]\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7030A0"/>
            </a:solidFill>
          </c:spPr>
          <c:invertIfNegative val="0"/>
          <c:cat>
            <c:strRef>
              <c:f>'TABELAS PARA GRAFICOS'!$C$22:$N$22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'TABELAS PARA GRAFICOS'!$C$27:$N$27</c:f>
              <c:numCache>
                <c:formatCode>[$R$-416]\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513728"/>
        <c:axId val="87523712"/>
      </c:barChart>
      <c:catAx>
        <c:axId val="87513728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/>
          <a:lstStyle/>
          <a:p>
            <a:pPr>
              <a:defRPr b="1" i="0" baseline="0"/>
            </a:pPr>
            <a:endParaRPr lang="pt-BR"/>
          </a:p>
        </c:txPr>
        <c:crossAx val="87523712"/>
        <c:crosses val="autoZero"/>
        <c:auto val="1"/>
        <c:lblAlgn val="ctr"/>
        <c:lblOffset val="100"/>
        <c:noMultiLvlLbl val="0"/>
      </c:catAx>
      <c:valAx>
        <c:axId val="87523712"/>
        <c:scaling>
          <c:orientation val="minMax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VALORES EM REAIS R$</a:t>
                </a:r>
              </a:p>
            </c:rich>
          </c:tx>
          <c:layout>
            <c:manualLayout>
              <c:xMode val="edge"/>
              <c:yMode val="edge"/>
              <c:x val="1.7804154302670624E-2"/>
              <c:y val="0.24867208005249344"/>
            </c:manualLayout>
          </c:layout>
          <c:overlay val="0"/>
        </c:title>
        <c:numFmt formatCode="[$R$-416]\ #,##0.00" sourceLinked="1"/>
        <c:majorTickMark val="out"/>
        <c:minorTickMark val="none"/>
        <c:tickLblPos val="nextTo"/>
        <c:crossAx val="87513728"/>
        <c:crosses val="autoZero"/>
        <c:crossBetween val="between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noFill/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ysClr val="windowText" lastClr="000000"/>
      </a:solidFill>
      <a:prstDash val="solid"/>
    </a:ln>
    <a:effectLst>
      <a:glow rad="101600">
        <a:schemeClr val="accent5">
          <a:satMod val="175000"/>
          <a:alpha val="40000"/>
        </a:schemeClr>
      </a:glow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A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croll" dx="16" fmlaLink="'TABELAS PARA GRAFICOS'!$C$30" horiz="1" max="12" min="1" page="0" val="1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AnoFluxo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RELATORIO!A1"/><Relationship Id="rId7" Type="http://schemas.openxmlformats.org/officeDocument/2006/relationships/chart" Target="../charts/chart3.xml"/><Relationship Id="rId2" Type="http://schemas.openxmlformats.org/officeDocument/2006/relationships/hyperlink" Target="#'TABELAS PARA GRAFICOS'!A1"/><Relationship Id="rId1" Type="http://schemas.openxmlformats.org/officeDocument/2006/relationships/hyperlink" Target="#DADOS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TituloPainel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noFluxo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noFluxo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noFluxo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0</xdr:row>
      <xdr:rowOff>76200</xdr:rowOff>
    </xdr:from>
    <xdr:to>
      <xdr:col>6</xdr:col>
      <xdr:colOff>991791</xdr:colOff>
      <xdr:row>0</xdr:row>
      <xdr:rowOff>785532</xdr:rowOff>
    </xdr:to>
    <xdr:sp macro="" textlink="">
      <xdr:nvSpPr>
        <xdr:cNvPr id="2" name="Oval 1">
          <a:hlinkClick xmlns:r="http://schemas.openxmlformats.org/officeDocument/2006/relationships" r:id="rId1" tooltip="Clique aqui para voltar ao Painel"/>
        </xdr:cNvPr>
        <xdr:cNvSpPr>
          <a:spLocks noChangeAspect="1"/>
        </xdr:cNvSpPr>
      </xdr:nvSpPr>
      <xdr:spPr>
        <a:xfrm>
          <a:off x="6629400" y="76200"/>
          <a:ext cx="753666" cy="709332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VOLTAR</a:t>
          </a:r>
        </a:p>
        <a:p>
          <a:pPr algn="ctr"/>
          <a:r>
            <a:rPr lang="pt-BR" sz="1100" b="1"/>
            <a:t>PAINEL</a:t>
          </a:r>
        </a:p>
      </xdr:txBody>
    </xdr:sp>
    <xdr:clientData/>
  </xdr:twoCellAnchor>
  <xdr:twoCellAnchor editAs="absolute">
    <xdr:from>
      <xdr:col>7</xdr:col>
      <xdr:colOff>400050</xdr:colOff>
      <xdr:row>0</xdr:row>
      <xdr:rowOff>76200</xdr:rowOff>
    </xdr:from>
    <xdr:to>
      <xdr:col>8</xdr:col>
      <xdr:colOff>544116</xdr:colOff>
      <xdr:row>0</xdr:row>
      <xdr:rowOff>785532</xdr:rowOff>
    </xdr:to>
    <xdr:sp macro="[0]!mostrar_tudo" textlink="">
      <xdr:nvSpPr>
        <xdr:cNvPr id="3" name="Oval 2"/>
        <xdr:cNvSpPr>
          <a:spLocks noChangeAspect="1"/>
        </xdr:cNvSpPr>
      </xdr:nvSpPr>
      <xdr:spPr>
        <a:xfrm>
          <a:off x="7991475" y="76200"/>
          <a:ext cx="753666" cy="709332"/>
        </a:xfrm>
        <a:prstGeom prst="ellipse">
          <a:avLst/>
        </a:prstGeom>
        <a:solidFill>
          <a:schemeClr val="accent2"/>
        </a:solidFill>
        <a:ln w="38100">
          <a:solidFill>
            <a:schemeClr val="accent2"/>
          </a:solidFill>
        </a:ln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TELA</a:t>
          </a:r>
          <a:r>
            <a:rPr lang="pt-BR" sz="1100" b="1" baseline="0"/>
            <a:t> NORMAL</a:t>
          </a:r>
          <a:endParaRPr lang="pt-BR" sz="1100" b="1"/>
        </a:p>
      </xdr:txBody>
    </xdr:sp>
    <xdr:clientData/>
  </xdr:twoCellAnchor>
  <xdr:twoCellAnchor editAs="absolute">
    <xdr:from>
      <xdr:col>9</xdr:col>
      <xdr:colOff>85725</xdr:colOff>
      <xdr:row>0</xdr:row>
      <xdr:rowOff>76200</xdr:rowOff>
    </xdr:from>
    <xdr:to>
      <xdr:col>10</xdr:col>
      <xdr:colOff>229791</xdr:colOff>
      <xdr:row>0</xdr:row>
      <xdr:rowOff>785532</xdr:rowOff>
    </xdr:to>
    <xdr:sp macro="[0]!ocultar_tudo" textlink="">
      <xdr:nvSpPr>
        <xdr:cNvPr id="4" name="Oval 3"/>
        <xdr:cNvSpPr>
          <a:spLocks noChangeAspect="1"/>
        </xdr:cNvSpPr>
      </xdr:nvSpPr>
      <xdr:spPr>
        <a:xfrm>
          <a:off x="9315450" y="76200"/>
          <a:ext cx="753666" cy="709332"/>
        </a:xfrm>
        <a:prstGeom prst="ellipse">
          <a:avLst/>
        </a:prstGeom>
        <a:solidFill>
          <a:srgbClr val="92D050"/>
        </a:solidFill>
        <a:ln w="38100">
          <a:solidFill>
            <a:srgbClr val="92D050"/>
          </a:solidFill>
        </a:ln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TELA</a:t>
          </a:r>
          <a:r>
            <a:rPr lang="pt-BR" sz="1100" b="1" baseline="0"/>
            <a:t> MÁXIMA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</xdr:colOff>
      <xdr:row>7</xdr:row>
      <xdr:rowOff>114300</xdr:rowOff>
    </xdr:from>
    <xdr:ext cx="184731" cy="264560"/>
    <xdr:sp macro="" textlink="">
      <xdr:nvSpPr>
        <xdr:cNvPr id="2" name="TextBox 1"/>
        <xdr:cNvSpPr txBox="1"/>
      </xdr:nvSpPr>
      <xdr:spPr>
        <a:xfrm>
          <a:off x="1323975" y="1733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6</xdr:row>
          <xdr:rowOff>76200</xdr:rowOff>
        </xdr:from>
        <xdr:to>
          <xdr:col>2</xdr:col>
          <xdr:colOff>133350</xdr:colOff>
          <xdr:row>7</xdr:row>
          <xdr:rowOff>142875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RECEITAS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485775</xdr:colOff>
      <xdr:row>25</xdr:row>
      <xdr:rowOff>9525</xdr:rowOff>
    </xdr:from>
    <xdr:to>
      <xdr:col>4</xdr:col>
      <xdr:colOff>133350</xdr:colOff>
      <xdr:row>29</xdr:row>
      <xdr:rowOff>171450</xdr:rowOff>
    </xdr:to>
    <xdr:sp macro="[0]!ADICIONAR" textlink="">
      <xdr:nvSpPr>
        <xdr:cNvPr id="4" name="Oval 3"/>
        <xdr:cNvSpPr/>
      </xdr:nvSpPr>
      <xdr:spPr>
        <a:xfrm>
          <a:off x="1352550" y="4657725"/>
          <a:ext cx="962025" cy="962025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ADICIONAR</a:t>
          </a:r>
        </a:p>
      </xdr:txBody>
    </xdr:sp>
    <xdr:clientData/>
  </xdr:twoCellAnchor>
  <xdr:twoCellAnchor editAs="absolute">
    <xdr:from>
      <xdr:col>10</xdr:col>
      <xdr:colOff>47625</xdr:colOff>
      <xdr:row>3</xdr:row>
      <xdr:rowOff>19050</xdr:rowOff>
    </xdr:from>
    <xdr:to>
      <xdr:col>12</xdr:col>
      <xdr:colOff>99399</xdr:colOff>
      <xdr:row>4</xdr:row>
      <xdr:rowOff>180975</xdr:rowOff>
    </xdr:to>
    <xdr:sp macro="[0]!GRAFICOMES" textlink="">
      <xdr:nvSpPr>
        <xdr:cNvPr id="5" name="Rectangle 4"/>
        <xdr:cNvSpPr/>
      </xdr:nvSpPr>
      <xdr:spPr>
        <a:xfrm>
          <a:off x="5295900" y="876300"/>
          <a:ext cx="1394799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9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GRÁFICO MÊS</a:t>
          </a:r>
        </a:p>
      </xdr:txBody>
    </xdr:sp>
    <xdr:clientData/>
  </xdr:twoCellAnchor>
  <xdr:twoCellAnchor editAs="absolute">
    <xdr:from>
      <xdr:col>12</xdr:col>
      <xdr:colOff>194973</xdr:colOff>
      <xdr:row>3</xdr:row>
      <xdr:rowOff>19050</xdr:rowOff>
    </xdr:from>
    <xdr:to>
      <xdr:col>14</xdr:col>
      <xdr:colOff>248878</xdr:colOff>
      <xdr:row>4</xdr:row>
      <xdr:rowOff>180975</xdr:rowOff>
    </xdr:to>
    <xdr:sp macro="[0]!GRAFICODESPESAMES" textlink="">
      <xdr:nvSpPr>
        <xdr:cNvPr id="16" name="Rectangle 15"/>
        <xdr:cNvSpPr/>
      </xdr:nvSpPr>
      <xdr:spPr>
        <a:xfrm>
          <a:off x="6786273" y="876300"/>
          <a:ext cx="1273105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9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GRÁFICO DESPESAS MÊS</a:t>
          </a:r>
        </a:p>
      </xdr:txBody>
    </xdr:sp>
    <xdr:clientData/>
  </xdr:twoCellAnchor>
  <xdr:twoCellAnchor editAs="absolute">
    <xdr:from>
      <xdr:col>14</xdr:col>
      <xdr:colOff>344178</xdr:colOff>
      <xdr:row>3</xdr:row>
      <xdr:rowOff>19050</xdr:rowOff>
    </xdr:from>
    <xdr:to>
      <xdr:col>16</xdr:col>
      <xdr:colOff>285750</xdr:colOff>
      <xdr:row>4</xdr:row>
      <xdr:rowOff>180975</xdr:rowOff>
    </xdr:to>
    <xdr:sp macro="[0]!GRAFICOANO" textlink="">
      <xdr:nvSpPr>
        <xdr:cNvPr id="17" name="Rectangle 16"/>
        <xdr:cNvSpPr/>
      </xdr:nvSpPr>
      <xdr:spPr>
        <a:xfrm>
          <a:off x="8154678" y="876300"/>
          <a:ext cx="1160772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9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GRÁFICO ANO</a:t>
          </a:r>
        </a:p>
      </xdr:txBody>
    </xdr:sp>
    <xdr:clientData/>
  </xdr:twoCellAnchor>
  <xdr:twoCellAnchor editAs="absolute">
    <xdr:from>
      <xdr:col>16</xdr:col>
      <xdr:colOff>404523</xdr:colOff>
      <xdr:row>3</xdr:row>
      <xdr:rowOff>19050</xdr:rowOff>
    </xdr:from>
    <xdr:to>
      <xdr:col>18</xdr:col>
      <xdr:colOff>458428</xdr:colOff>
      <xdr:row>4</xdr:row>
      <xdr:rowOff>180975</xdr:rowOff>
    </xdr:to>
    <xdr:sp macro="[0]!GRAFICODESPESASANO" textlink="">
      <xdr:nvSpPr>
        <xdr:cNvPr id="18" name="Rectangle 17"/>
        <xdr:cNvSpPr/>
      </xdr:nvSpPr>
      <xdr:spPr>
        <a:xfrm>
          <a:off x="9434223" y="876300"/>
          <a:ext cx="1273105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9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GRÁFICO DESPESAS ANO</a:t>
          </a:r>
        </a:p>
      </xdr:txBody>
    </xdr:sp>
    <xdr:clientData/>
  </xdr:twoCellAnchor>
  <xdr:twoCellAnchor editAs="absolute">
    <xdr:from>
      <xdr:col>18</xdr:col>
      <xdr:colOff>563253</xdr:colOff>
      <xdr:row>3</xdr:row>
      <xdr:rowOff>19050</xdr:rowOff>
    </xdr:from>
    <xdr:to>
      <xdr:col>20</xdr:col>
      <xdr:colOff>504825</xdr:colOff>
      <xdr:row>4</xdr:row>
      <xdr:rowOff>180975</xdr:rowOff>
    </xdr:to>
    <xdr:sp macro="[0]!GRAFICOFLUXO" textlink="">
      <xdr:nvSpPr>
        <xdr:cNvPr id="19" name="Rectangle 18"/>
        <xdr:cNvSpPr/>
      </xdr:nvSpPr>
      <xdr:spPr>
        <a:xfrm>
          <a:off x="10812153" y="876300"/>
          <a:ext cx="1160772" cy="35242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9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GRÁFICO FLUXO</a:t>
          </a:r>
        </a:p>
      </xdr:txBody>
    </xdr:sp>
    <xdr:clientData/>
  </xdr:twoCellAnchor>
  <xdr:twoCellAnchor editAs="absolute">
    <xdr:from>
      <xdr:col>13</xdr:col>
      <xdr:colOff>515408</xdr:colOff>
      <xdr:row>0</xdr:row>
      <xdr:rowOff>67423</xdr:rowOff>
    </xdr:from>
    <xdr:to>
      <xdr:col>15</xdr:col>
      <xdr:colOff>84799</xdr:colOff>
      <xdr:row>2</xdr:row>
      <xdr:rowOff>238125</xdr:rowOff>
    </xdr:to>
    <xdr:sp macro="" textlink="">
      <xdr:nvSpPr>
        <xdr:cNvPr id="20" name="Oval 19">
          <a:hlinkClick xmlns:r="http://schemas.openxmlformats.org/officeDocument/2006/relationships" r:id="rId1" tooltip="Clique aqui para ir a página de Banco de Dados"/>
        </xdr:cNvPr>
        <xdr:cNvSpPr>
          <a:spLocks noChangeAspect="1"/>
        </xdr:cNvSpPr>
      </xdr:nvSpPr>
      <xdr:spPr>
        <a:xfrm>
          <a:off x="7716308" y="67423"/>
          <a:ext cx="788591" cy="742202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BANCO</a:t>
          </a:r>
          <a:r>
            <a:rPr lang="pt-BR" sz="1100" b="1" baseline="0"/>
            <a:t> DADOS</a:t>
          </a:r>
          <a:endParaRPr lang="pt-BR" sz="1100" b="1"/>
        </a:p>
      </xdr:txBody>
    </xdr:sp>
    <xdr:clientData/>
  </xdr:twoCellAnchor>
  <xdr:twoCellAnchor editAs="absolute">
    <xdr:from>
      <xdr:col>15</xdr:col>
      <xdr:colOff>564091</xdr:colOff>
      <xdr:row>0</xdr:row>
      <xdr:rowOff>67423</xdr:rowOff>
    </xdr:from>
    <xdr:to>
      <xdr:col>17</xdr:col>
      <xdr:colOff>133482</xdr:colOff>
      <xdr:row>2</xdr:row>
      <xdr:rowOff>238125</xdr:rowOff>
    </xdr:to>
    <xdr:sp macro="" textlink="">
      <xdr:nvSpPr>
        <xdr:cNvPr id="21" name="Oval 20">
          <a:hlinkClick xmlns:r="http://schemas.openxmlformats.org/officeDocument/2006/relationships" r:id="rId2" tooltip="Clique aqui para acessar a página de dados para os gráficos"/>
        </xdr:cNvPr>
        <xdr:cNvSpPr>
          <a:spLocks noChangeAspect="1"/>
        </xdr:cNvSpPr>
      </xdr:nvSpPr>
      <xdr:spPr>
        <a:xfrm>
          <a:off x="8984191" y="67423"/>
          <a:ext cx="788591" cy="742202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000" b="1"/>
            <a:t>DADOS GRÁFICOS</a:t>
          </a:r>
        </a:p>
      </xdr:txBody>
    </xdr:sp>
    <xdr:clientData/>
  </xdr:twoCellAnchor>
  <xdr:twoCellAnchor editAs="absolute">
    <xdr:from>
      <xdr:col>18</xdr:col>
      <xdr:colOff>127000</xdr:colOff>
      <xdr:row>0</xdr:row>
      <xdr:rowOff>67423</xdr:rowOff>
    </xdr:from>
    <xdr:to>
      <xdr:col>19</xdr:col>
      <xdr:colOff>305991</xdr:colOff>
      <xdr:row>2</xdr:row>
      <xdr:rowOff>238125</xdr:rowOff>
    </xdr:to>
    <xdr:sp macro="" textlink="">
      <xdr:nvSpPr>
        <xdr:cNvPr id="22" name="Oval 21">
          <a:hlinkClick xmlns:r="http://schemas.openxmlformats.org/officeDocument/2006/relationships" r:id="rId3" tooltip="Clique aqui para ir à página de relatórios"/>
        </xdr:cNvPr>
        <xdr:cNvSpPr>
          <a:spLocks noChangeAspect="1"/>
        </xdr:cNvSpPr>
      </xdr:nvSpPr>
      <xdr:spPr>
        <a:xfrm>
          <a:off x="10375900" y="67423"/>
          <a:ext cx="788591" cy="742202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800" b="1"/>
            <a:t>RELATÓRIOS</a:t>
          </a:r>
        </a:p>
      </xdr:txBody>
    </xdr:sp>
    <xdr:clientData/>
  </xdr:twoCellAnchor>
  <xdr:twoCellAnchor editAs="absolute">
    <xdr:from>
      <xdr:col>7</xdr:col>
      <xdr:colOff>38099</xdr:colOff>
      <xdr:row>5</xdr:row>
      <xdr:rowOff>0</xdr:rowOff>
    </xdr:from>
    <xdr:to>
      <xdr:col>9</xdr:col>
      <xdr:colOff>438899</xdr:colOff>
      <xdr:row>10</xdr:row>
      <xdr:rowOff>180975</xdr:rowOff>
    </xdr:to>
    <xdr:sp macro="" textlink="DisplayG">
      <xdr:nvSpPr>
        <xdr:cNvPr id="6" name="Down Arrow 5"/>
        <xdr:cNvSpPr/>
      </xdr:nvSpPr>
      <xdr:spPr>
        <a:xfrm>
          <a:off x="3581399" y="1247775"/>
          <a:ext cx="1620000" cy="981075"/>
        </a:xfrm>
        <a:prstGeom prst="downArrow">
          <a:avLst>
            <a:gd name="adj1" fmla="val 100000"/>
            <a:gd name="adj2" fmla="val 1651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fld id="{FEED92F8-84CF-4C3A-AB61-39952B4A392F}" type="TxLink">
            <a:rPr lang="en-US" sz="18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NOVEMBRO</a:t>
          </a:fld>
          <a:endParaRPr lang="pt-BR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361950</xdr:colOff>
      <xdr:row>0</xdr:row>
      <xdr:rowOff>67423</xdr:rowOff>
    </xdr:from>
    <xdr:to>
      <xdr:col>12</xdr:col>
      <xdr:colOff>540941</xdr:colOff>
      <xdr:row>2</xdr:row>
      <xdr:rowOff>238125</xdr:rowOff>
    </xdr:to>
    <xdr:sp macro="" textlink="">
      <xdr:nvSpPr>
        <xdr:cNvPr id="24" name="Oval 23">
          <a:hlinkClick xmlns:r="http://schemas.openxmlformats.org/officeDocument/2006/relationships" r:id="rId4" tooltip="Clique aqui para ir para a página de configurações"/>
        </xdr:cNvPr>
        <xdr:cNvSpPr>
          <a:spLocks noChangeAspect="1"/>
        </xdr:cNvSpPr>
      </xdr:nvSpPr>
      <xdr:spPr>
        <a:xfrm>
          <a:off x="6343650" y="67423"/>
          <a:ext cx="788591" cy="742202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200" b="1"/>
            <a:t>TABELAS</a:t>
          </a:r>
        </a:p>
      </xdr:txBody>
    </xdr:sp>
    <xdr:clientData/>
  </xdr:twoCellAnchor>
  <xdr:twoCellAnchor>
    <xdr:from>
      <xdr:col>7</xdr:col>
      <xdr:colOff>180975</xdr:colOff>
      <xdr:row>6</xdr:row>
      <xdr:rowOff>161925</xdr:rowOff>
    </xdr:from>
    <xdr:to>
      <xdr:col>9</xdr:col>
      <xdr:colOff>266700</xdr:colOff>
      <xdr:row>8</xdr:row>
      <xdr:rowOff>0</xdr:rowOff>
    </xdr:to>
    <xdr:sp macro="" textlink="">
      <xdr:nvSpPr>
        <xdr:cNvPr id="8" name="TextBox 7"/>
        <xdr:cNvSpPr txBox="1"/>
      </xdr:nvSpPr>
      <xdr:spPr>
        <a:xfrm>
          <a:off x="3886200" y="1409700"/>
          <a:ext cx="1304925" cy="238125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VISÃO GERAL</a:t>
          </a:r>
        </a:p>
      </xdr:txBody>
    </xdr:sp>
    <xdr:clientData/>
  </xdr:twoCellAnchor>
  <xdr:twoCellAnchor editAs="absolute">
    <xdr:from>
      <xdr:col>7</xdr:col>
      <xdr:colOff>38100</xdr:colOff>
      <xdr:row>11</xdr:row>
      <xdr:rowOff>161925</xdr:rowOff>
    </xdr:from>
    <xdr:to>
      <xdr:col>9</xdr:col>
      <xdr:colOff>438900</xdr:colOff>
      <xdr:row>15</xdr:row>
      <xdr:rowOff>9524</xdr:rowOff>
    </xdr:to>
    <xdr:grpSp>
      <xdr:nvGrpSpPr>
        <xdr:cNvPr id="15" name="Group 14"/>
        <xdr:cNvGrpSpPr/>
      </xdr:nvGrpSpPr>
      <xdr:grpSpPr>
        <a:xfrm>
          <a:off x="3581400" y="2409825"/>
          <a:ext cx="1620000" cy="647699"/>
          <a:chOff x="3409950" y="2409825"/>
          <a:chExt cx="1620000" cy="647699"/>
        </a:xfrm>
      </xdr:grpSpPr>
      <xdr:sp macro="" textlink="DisplayR">
        <xdr:nvSpPr>
          <xdr:cNvPr id="9" name="Rectangle 8"/>
          <xdr:cNvSpPr/>
        </xdr:nvSpPr>
        <xdr:spPr>
          <a:xfrm>
            <a:off x="3409950" y="2409825"/>
            <a:ext cx="1620000" cy="647699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b"/>
          <a:lstStyle/>
          <a:p>
            <a:pPr algn="ctr"/>
            <a:fld id="{FFE7F19C-053A-404C-B5ED-AC7236240305}" type="TxLink">
              <a:rPr lang="en-US" sz="1600" b="1" i="0" u="none" strike="noStrike">
                <a:solidFill>
                  <a:schemeClr val="tx2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R$ 300.00</a:t>
            </a:fld>
            <a:endParaRPr lang="pt-BR" sz="16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8" name="Rectangle 27"/>
          <xdr:cNvSpPr/>
        </xdr:nvSpPr>
        <xdr:spPr>
          <a:xfrm>
            <a:off x="3409950" y="2409825"/>
            <a:ext cx="95250" cy="647699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3609975" y="2419350"/>
            <a:ext cx="13049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b="1">
                <a:solidFill>
                  <a:schemeClr val="tx2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RECEITA</a:t>
            </a:r>
          </a:p>
        </xdr:txBody>
      </xdr:sp>
    </xdr:grpSp>
    <xdr:clientData/>
  </xdr:twoCellAnchor>
  <xdr:twoCellAnchor editAs="absolute">
    <xdr:from>
      <xdr:col>7</xdr:col>
      <xdr:colOff>38100</xdr:colOff>
      <xdr:row>15</xdr:row>
      <xdr:rowOff>168275</xdr:rowOff>
    </xdr:from>
    <xdr:to>
      <xdr:col>9</xdr:col>
      <xdr:colOff>438900</xdr:colOff>
      <xdr:row>21</xdr:row>
      <xdr:rowOff>15874</xdr:rowOff>
    </xdr:to>
    <xdr:grpSp>
      <xdr:nvGrpSpPr>
        <xdr:cNvPr id="36" name="Group 35"/>
        <xdr:cNvGrpSpPr/>
      </xdr:nvGrpSpPr>
      <xdr:grpSpPr>
        <a:xfrm>
          <a:off x="3581400" y="3216275"/>
          <a:ext cx="1620000" cy="647699"/>
          <a:chOff x="3409950" y="2409825"/>
          <a:chExt cx="1620000" cy="647699"/>
        </a:xfrm>
      </xdr:grpSpPr>
      <xdr:sp macro="" textlink="DisplayD">
        <xdr:nvSpPr>
          <xdr:cNvPr id="37" name="Rectangle 36"/>
          <xdr:cNvSpPr/>
        </xdr:nvSpPr>
        <xdr:spPr>
          <a:xfrm>
            <a:off x="3409950" y="2409825"/>
            <a:ext cx="1620000" cy="647699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b"/>
          <a:lstStyle/>
          <a:p>
            <a:pPr algn="ctr"/>
            <a:fld id="{34811AAC-9472-412B-B21E-2A2850E2D954}" type="TxLink">
              <a:rPr lang="en-US" sz="1600" b="1" i="0" u="none" strike="noStrike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R$ 0.00</a:t>
            </a:fld>
            <a:endParaRPr lang="pt-BR" sz="1600" b="1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8" name="Rectangle 37"/>
          <xdr:cNvSpPr/>
        </xdr:nvSpPr>
        <xdr:spPr>
          <a:xfrm>
            <a:off x="3409950" y="2409825"/>
            <a:ext cx="95250" cy="647699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39" name="TextBox 38"/>
          <xdr:cNvSpPr txBox="1"/>
        </xdr:nvSpPr>
        <xdr:spPr>
          <a:xfrm>
            <a:off x="3609975" y="2419350"/>
            <a:ext cx="13049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b="1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DESPESA</a:t>
            </a:r>
          </a:p>
        </xdr:txBody>
      </xdr:sp>
    </xdr:grpSp>
    <xdr:clientData/>
  </xdr:twoCellAnchor>
  <xdr:twoCellAnchor editAs="absolute">
    <xdr:from>
      <xdr:col>7</xdr:col>
      <xdr:colOff>38100</xdr:colOff>
      <xdr:row>25</xdr:row>
      <xdr:rowOff>155575</xdr:rowOff>
    </xdr:from>
    <xdr:to>
      <xdr:col>9</xdr:col>
      <xdr:colOff>438900</xdr:colOff>
      <xdr:row>29</xdr:row>
      <xdr:rowOff>0</xdr:rowOff>
    </xdr:to>
    <xdr:grpSp>
      <xdr:nvGrpSpPr>
        <xdr:cNvPr id="40" name="Group 39"/>
        <xdr:cNvGrpSpPr/>
      </xdr:nvGrpSpPr>
      <xdr:grpSpPr>
        <a:xfrm>
          <a:off x="3581400" y="4803775"/>
          <a:ext cx="1620000" cy="644525"/>
          <a:chOff x="3409950" y="2409825"/>
          <a:chExt cx="1620000" cy="647699"/>
        </a:xfrm>
      </xdr:grpSpPr>
      <xdr:sp macro="" textlink="DisplayA">
        <xdr:nvSpPr>
          <xdr:cNvPr id="41" name="Rectangle 40"/>
          <xdr:cNvSpPr/>
        </xdr:nvSpPr>
        <xdr:spPr>
          <a:xfrm>
            <a:off x="3409950" y="2409825"/>
            <a:ext cx="1620000" cy="647699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b"/>
          <a:lstStyle/>
          <a:p>
            <a:pPr algn="ctr"/>
            <a:fld id="{13FFBD55-11FE-4F27-AA27-4512F1DBD9CC}" type="TxLink">
              <a:rPr lang="en-US" sz="1600" b="1" i="0" u="none" strike="noStrike">
                <a:solidFill>
                  <a:srgbClr val="7030A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R$ 300.00</a:t>
            </a:fld>
            <a:endParaRPr lang="pt-BR" sz="1600" b="1">
              <a:solidFill>
                <a:srgbClr val="7030A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2" name="Rectangle 41"/>
          <xdr:cNvSpPr/>
        </xdr:nvSpPr>
        <xdr:spPr>
          <a:xfrm>
            <a:off x="3409950" y="2409825"/>
            <a:ext cx="95250" cy="647699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7030A0"/>
              </a:solidFill>
            </a:endParaRPr>
          </a:p>
        </xdr:txBody>
      </xdr:sp>
      <xdr:sp macro="" textlink="">
        <xdr:nvSpPr>
          <xdr:cNvPr id="43" name="TextBox 42"/>
          <xdr:cNvSpPr txBox="1"/>
        </xdr:nvSpPr>
        <xdr:spPr>
          <a:xfrm>
            <a:off x="3609975" y="2419350"/>
            <a:ext cx="13049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800" b="1">
                <a:solidFill>
                  <a:srgbClr val="7030A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SALDO ACUMULADO</a:t>
            </a:r>
          </a:p>
        </xdr:txBody>
      </xdr:sp>
    </xdr:grpSp>
    <xdr:clientData/>
  </xdr:twoCellAnchor>
  <xdr:twoCellAnchor editAs="absolute">
    <xdr:from>
      <xdr:col>7</xdr:col>
      <xdr:colOff>38100</xdr:colOff>
      <xdr:row>21</xdr:row>
      <xdr:rowOff>161925</xdr:rowOff>
    </xdr:from>
    <xdr:to>
      <xdr:col>9</xdr:col>
      <xdr:colOff>438900</xdr:colOff>
      <xdr:row>25</xdr:row>
      <xdr:rowOff>9524</xdr:rowOff>
    </xdr:to>
    <xdr:grpSp>
      <xdr:nvGrpSpPr>
        <xdr:cNvPr id="48" name="Group 47"/>
        <xdr:cNvGrpSpPr/>
      </xdr:nvGrpSpPr>
      <xdr:grpSpPr>
        <a:xfrm>
          <a:off x="3581400" y="4010025"/>
          <a:ext cx="1620000" cy="647699"/>
          <a:chOff x="3409950" y="2409825"/>
          <a:chExt cx="1620000" cy="647699"/>
        </a:xfrm>
      </xdr:grpSpPr>
      <xdr:sp macro="" textlink="DisplayF">
        <xdr:nvSpPr>
          <xdr:cNvPr id="49" name="Rectangle 48"/>
          <xdr:cNvSpPr/>
        </xdr:nvSpPr>
        <xdr:spPr>
          <a:xfrm>
            <a:off x="3409950" y="2409825"/>
            <a:ext cx="1620000" cy="647699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b"/>
          <a:lstStyle/>
          <a:p>
            <a:pPr algn="ctr"/>
            <a:fld id="{242BE84D-155B-4141-84F9-EB443CDA0720}" type="TxLink">
              <a:rPr lang="en-US" sz="1600" b="1" i="0" u="none" strike="noStrike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R$ 300.00</a:t>
            </a:fld>
            <a:endParaRPr lang="pt-BR" sz="1600" b="1">
              <a:solidFill>
                <a:srgbClr val="00B0F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0" name="Rectangle 49"/>
          <xdr:cNvSpPr/>
        </xdr:nvSpPr>
        <xdr:spPr>
          <a:xfrm>
            <a:off x="3409950" y="2409825"/>
            <a:ext cx="95250" cy="647699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00B0F0"/>
              </a:solidFill>
            </a:endParaRPr>
          </a:p>
        </xdr:txBody>
      </xdr:sp>
      <xdr:sp macro="" textlink="">
        <xdr:nvSpPr>
          <xdr:cNvPr id="51" name="TextBox 50"/>
          <xdr:cNvSpPr txBox="1"/>
        </xdr:nvSpPr>
        <xdr:spPr>
          <a:xfrm>
            <a:off x="3609975" y="2419350"/>
            <a:ext cx="1304925" cy="26670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b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FLUXO DE CAIXA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6</xdr:row>
          <xdr:rowOff>76200</xdr:rowOff>
        </xdr:from>
        <xdr:to>
          <xdr:col>6</xdr:col>
          <xdr:colOff>85725</xdr:colOff>
          <xdr:row>7</xdr:row>
          <xdr:rowOff>142875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DESPESAS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295274</xdr:colOff>
      <xdr:row>7</xdr:row>
      <xdr:rowOff>200024</xdr:rowOff>
    </xdr:from>
    <xdr:to>
      <xdr:col>20</xdr:col>
      <xdr:colOff>371474</xdr:colOff>
      <xdr:row>40</xdr:row>
      <xdr:rowOff>47624</xdr:rowOff>
    </xdr:to>
    <xdr:graphicFrame macro="">
      <xdr:nvGraphicFramePr>
        <xdr:cNvPr id="33" name="Graf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40</xdr:row>
          <xdr:rowOff>95250</xdr:rowOff>
        </xdr:from>
        <xdr:to>
          <xdr:col>20</xdr:col>
          <xdr:colOff>238125</xdr:colOff>
          <xdr:row>41</xdr:row>
          <xdr:rowOff>133350</xdr:rowOff>
        </xdr:to>
        <xdr:sp macro="" textlink="">
          <xdr:nvSpPr>
            <xdr:cNvPr id="2065" name="BarraRolagem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295274</xdr:colOff>
      <xdr:row>7</xdr:row>
      <xdr:rowOff>200024</xdr:rowOff>
    </xdr:from>
    <xdr:to>
      <xdr:col>20</xdr:col>
      <xdr:colOff>304800</xdr:colOff>
      <xdr:row>40</xdr:row>
      <xdr:rowOff>28575</xdr:rowOff>
    </xdr:to>
    <xdr:graphicFrame macro="">
      <xdr:nvGraphicFramePr>
        <xdr:cNvPr id="35" name="GrafDM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161923</xdr:colOff>
      <xdr:row>7</xdr:row>
      <xdr:rowOff>200024</xdr:rowOff>
    </xdr:from>
    <xdr:to>
      <xdr:col>20</xdr:col>
      <xdr:colOff>390525</xdr:colOff>
      <xdr:row>35</xdr:row>
      <xdr:rowOff>180975</xdr:rowOff>
    </xdr:to>
    <xdr:graphicFrame macro="">
      <xdr:nvGraphicFramePr>
        <xdr:cNvPr id="44" name="GrafA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190499</xdr:colOff>
      <xdr:row>8</xdr:row>
      <xdr:rowOff>0</xdr:rowOff>
    </xdr:from>
    <xdr:to>
      <xdr:col>20</xdr:col>
      <xdr:colOff>390525</xdr:colOff>
      <xdr:row>35</xdr:row>
      <xdr:rowOff>152400</xdr:rowOff>
    </xdr:to>
    <xdr:graphicFrame macro="">
      <xdr:nvGraphicFramePr>
        <xdr:cNvPr id="45" name="GrafDA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180975</xdr:colOff>
      <xdr:row>7</xdr:row>
      <xdr:rowOff>200024</xdr:rowOff>
    </xdr:from>
    <xdr:to>
      <xdr:col>20</xdr:col>
      <xdr:colOff>352425</xdr:colOff>
      <xdr:row>35</xdr:row>
      <xdr:rowOff>161925</xdr:rowOff>
    </xdr:to>
    <xdr:graphicFrame macro="">
      <xdr:nvGraphicFramePr>
        <xdr:cNvPr id="47" name="GrafFlux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10</xdr:col>
      <xdr:colOff>576263</xdr:colOff>
      <xdr:row>6</xdr:row>
      <xdr:rowOff>100012</xdr:rowOff>
    </xdr:from>
    <xdr:ext cx="5770682" cy="298800"/>
    <xdr:sp macro="" textlink="TGrafM">
      <xdr:nvSpPr>
        <xdr:cNvPr id="7" name="TituloGrafM"/>
        <xdr:cNvSpPr txBox="1"/>
      </xdr:nvSpPr>
      <xdr:spPr>
        <a:xfrm>
          <a:off x="5824538" y="1347787"/>
          <a:ext cx="577068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F4A4959-ECBD-4118-A081-A29B5EFD71F6}" type="TxLink">
            <a:rPr lang="en-US" sz="14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DEMONSTRATIVO DO FLUXO DE CAIXA DO MÊS DE NOVEMBRO</a:t>
          </a:fld>
          <a:endParaRPr lang="pt-BR" sz="14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10137</xdr:colOff>
      <xdr:row>6</xdr:row>
      <xdr:rowOff>100012</xdr:rowOff>
    </xdr:from>
    <xdr:ext cx="5342232" cy="298800"/>
    <xdr:sp macro="" textlink="TGrafDM">
      <xdr:nvSpPr>
        <xdr:cNvPr id="52" name="TituloGrafDM" hidden="1"/>
        <xdr:cNvSpPr txBox="1"/>
      </xdr:nvSpPr>
      <xdr:spPr>
        <a:xfrm>
          <a:off x="5991837" y="1347787"/>
          <a:ext cx="534223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B8AE624-2646-4F9C-AC4E-EFD02BAB43FF}" type="TxLink">
            <a:rPr lang="en-US" sz="14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DEMONSTRATIVO DAS DESPESAS DO MÊS DE NOVEMBRO</a:t>
          </a:fld>
          <a:endParaRPr lang="pt-BR" sz="14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10</xdr:col>
      <xdr:colOff>376451</xdr:colOff>
      <xdr:row>6</xdr:row>
      <xdr:rowOff>100012</xdr:rowOff>
    </xdr:from>
    <xdr:ext cx="6050631" cy="298800"/>
    <xdr:sp macro="" textlink="TGrafA">
      <xdr:nvSpPr>
        <xdr:cNvPr id="53" name="TituloGrafA" hidden="1"/>
        <xdr:cNvSpPr txBox="1"/>
      </xdr:nvSpPr>
      <xdr:spPr>
        <a:xfrm>
          <a:off x="5624726" y="1347787"/>
          <a:ext cx="605063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6B2E0CD3-D747-414C-A0DB-9E592CD0F693}" type="TxLink">
            <a:rPr lang="en-US" sz="14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DEMONSTRATIVO DAS RECEITAS/DESPESAS/FLUXO DO ANO 2015</a:t>
          </a:fld>
          <a:endParaRPr lang="pt-BR" sz="14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258000</xdr:colOff>
      <xdr:row>6</xdr:row>
      <xdr:rowOff>100012</xdr:rowOff>
    </xdr:from>
    <xdr:ext cx="4694490" cy="298800"/>
    <xdr:sp macro="" textlink="TGrafDA">
      <xdr:nvSpPr>
        <xdr:cNvPr id="54" name="TituloGrafDA" hidden="1"/>
        <xdr:cNvSpPr txBox="1"/>
      </xdr:nvSpPr>
      <xdr:spPr>
        <a:xfrm>
          <a:off x="6239700" y="1347787"/>
          <a:ext cx="4694490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36A88E19-BAB6-44D1-8FDB-37F68B0D983E}" type="TxLink">
            <a:rPr lang="en-US" sz="14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DEMONSTRATIVO DAS DESPESAS DO ANO DE 2015</a:t>
          </a:fld>
          <a:endParaRPr lang="pt-BR" sz="14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465858</xdr:colOff>
      <xdr:row>6</xdr:row>
      <xdr:rowOff>100012</xdr:rowOff>
    </xdr:from>
    <xdr:ext cx="4354975" cy="298800"/>
    <xdr:sp macro="" textlink="TGrafFluxo">
      <xdr:nvSpPr>
        <xdr:cNvPr id="55" name="TituloGrafFluxo" hidden="1"/>
        <xdr:cNvSpPr txBox="1"/>
      </xdr:nvSpPr>
      <xdr:spPr>
        <a:xfrm>
          <a:off x="6447558" y="1347787"/>
          <a:ext cx="4354975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1443578-1715-4374-9F66-D933490F3E49}" type="TxLink">
            <a:rPr lang="en-US" sz="1400" b="1" i="0" u="none" strike="noStrike">
              <a:solidFill>
                <a:srgbClr val="0070C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DEMONSTRATIVO DO FLUXO DE CAIXA DE 2015</a:t>
          </a:fld>
          <a:endParaRPr lang="pt-BR" sz="1400" b="1">
            <a:solidFill>
              <a:srgbClr val="0070C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538162</xdr:colOff>
      <xdr:row>0</xdr:row>
      <xdr:rowOff>57150</xdr:rowOff>
    </xdr:from>
    <xdr:to>
      <xdr:col>6</xdr:col>
      <xdr:colOff>1287065</xdr:colOff>
      <xdr:row>0</xdr:row>
      <xdr:rowOff>762000</xdr:rowOff>
    </xdr:to>
    <xdr:sp macro="" textlink="">
      <xdr:nvSpPr>
        <xdr:cNvPr id="4" name="Oval 3">
          <a:hlinkClick xmlns:r="http://schemas.openxmlformats.org/officeDocument/2006/relationships" r:id="rId1" tooltip="Clique aqui para voltar ao Painel"/>
        </xdr:cNvPr>
        <xdr:cNvSpPr>
          <a:spLocks noChangeAspect="1"/>
        </xdr:cNvSpPr>
      </xdr:nvSpPr>
      <xdr:spPr>
        <a:xfrm>
          <a:off x="8177212" y="57150"/>
          <a:ext cx="748903" cy="704850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VOLTAR</a:t>
          </a:r>
        </a:p>
        <a:p>
          <a:pPr algn="ctr"/>
          <a:r>
            <a:rPr lang="pt-BR" sz="1100" b="1"/>
            <a:t>PAINEL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447674</xdr:colOff>
      <xdr:row>0</xdr:row>
      <xdr:rowOff>66675</xdr:rowOff>
    </xdr:from>
    <xdr:to>
      <xdr:col>10</xdr:col>
      <xdr:colOff>315515</xdr:colOff>
      <xdr:row>0</xdr:row>
      <xdr:rowOff>767043</xdr:rowOff>
    </xdr:to>
    <xdr:sp macro="" textlink="">
      <xdr:nvSpPr>
        <xdr:cNvPr id="3" name="Oval 2">
          <a:hlinkClick xmlns:r="http://schemas.openxmlformats.org/officeDocument/2006/relationships" r:id="rId1" tooltip="Clique aqui para voltar ao Painel"/>
        </xdr:cNvPr>
        <xdr:cNvSpPr>
          <a:spLocks noChangeAspect="1"/>
        </xdr:cNvSpPr>
      </xdr:nvSpPr>
      <xdr:spPr>
        <a:xfrm>
          <a:off x="8286749" y="66675"/>
          <a:ext cx="744141" cy="700368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VOLTAR</a:t>
          </a:r>
        </a:p>
        <a:p>
          <a:pPr algn="ctr"/>
          <a:r>
            <a:rPr lang="pt-BR" sz="1100" b="1"/>
            <a:t>PAINEL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</xdr:colOff>
      <xdr:row>5</xdr:row>
      <xdr:rowOff>114300</xdr:rowOff>
    </xdr:from>
    <xdr:ext cx="184731" cy="264560"/>
    <xdr:sp macro="" textlink="">
      <xdr:nvSpPr>
        <xdr:cNvPr id="2" name="TextBox 1"/>
        <xdr:cNvSpPr txBox="1"/>
      </xdr:nvSpPr>
      <xdr:spPr>
        <a:xfrm>
          <a:off x="971550" y="156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3</xdr:col>
      <xdr:colOff>47625</xdr:colOff>
      <xdr:row>15</xdr:row>
      <xdr:rowOff>133350</xdr:rowOff>
    </xdr:from>
    <xdr:to>
      <xdr:col>4</xdr:col>
      <xdr:colOff>47625</xdr:colOff>
      <xdr:row>21</xdr:row>
      <xdr:rowOff>0</xdr:rowOff>
    </xdr:to>
    <xdr:sp macro="[0]!GerarRelatorio" textlink="">
      <xdr:nvSpPr>
        <xdr:cNvPr id="3" name="Oval 2"/>
        <xdr:cNvSpPr/>
      </xdr:nvSpPr>
      <xdr:spPr>
        <a:xfrm>
          <a:off x="1085850" y="3381375"/>
          <a:ext cx="1038225" cy="100965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glow rad="101600">
            <a:schemeClr val="bg2">
              <a:lumMod val="50000"/>
              <a:alpha val="60000"/>
            </a:schemeClr>
          </a:glow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GERAR</a:t>
          </a:r>
          <a:r>
            <a:rPr lang="pt-BR" sz="900" b="1" baseline="0">
              <a:solidFill>
                <a:sysClr val="windowText" lastClr="000000"/>
              </a:solidFill>
            </a:rPr>
            <a:t> RELATÓRIO</a:t>
          </a:r>
          <a:endParaRPr lang="pt-BR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1076325</xdr:colOff>
      <xdr:row>0</xdr:row>
      <xdr:rowOff>95250</xdr:rowOff>
    </xdr:from>
    <xdr:to>
      <xdr:col>10</xdr:col>
      <xdr:colOff>695325</xdr:colOff>
      <xdr:row>4</xdr:row>
      <xdr:rowOff>104775</xdr:rowOff>
    </xdr:to>
    <xdr:sp macro="[0]!Limpar" textlink="">
      <xdr:nvSpPr>
        <xdr:cNvPr id="7" name="Oval 6"/>
        <xdr:cNvSpPr/>
      </xdr:nvSpPr>
      <xdr:spPr>
        <a:xfrm>
          <a:off x="5153025" y="95250"/>
          <a:ext cx="942975" cy="81915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glow rad="101600">
            <a:schemeClr val="bg2">
              <a:lumMod val="50000"/>
              <a:alpha val="60000"/>
            </a:schemeClr>
          </a:glow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LIMPAR</a:t>
          </a:r>
        </a:p>
      </xdr:txBody>
    </xdr:sp>
    <xdr:clientData/>
  </xdr:twoCellAnchor>
  <xdr:twoCellAnchor>
    <xdr:from>
      <xdr:col>11</xdr:col>
      <xdr:colOff>609600</xdr:colOff>
      <xdr:row>0</xdr:row>
      <xdr:rowOff>95250</xdr:rowOff>
    </xdr:from>
    <xdr:to>
      <xdr:col>13</xdr:col>
      <xdr:colOff>38100</xdr:colOff>
      <xdr:row>4</xdr:row>
      <xdr:rowOff>104775</xdr:rowOff>
    </xdr:to>
    <xdr:sp macro="[0]!SalvarImprimir" textlink="">
      <xdr:nvSpPr>
        <xdr:cNvPr id="8" name="Oval 7"/>
        <xdr:cNvSpPr/>
      </xdr:nvSpPr>
      <xdr:spPr>
        <a:xfrm>
          <a:off x="6724650" y="95250"/>
          <a:ext cx="942975" cy="81915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glow rad="101600">
            <a:schemeClr val="bg2">
              <a:lumMod val="50000"/>
              <a:alpha val="60000"/>
            </a:schemeClr>
          </a:glow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SALVAR</a:t>
          </a:r>
          <a:r>
            <a:rPr lang="pt-BR" sz="900" b="1" baseline="0">
              <a:solidFill>
                <a:sysClr val="windowText" lastClr="000000"/>
              </a:solidFill>
            </a:rPr>
            <a:t> E/OU IMPRIMIR</a:t>
          </a:r>
          <a:endParaRPr lang="pt-BR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638175</xdr:colOff>
      <xdr:row>0</xdr:row>
      <xdr:rowOff>95250</xdr:rowOff>
    </xdr:from>
    <xdr:to>
      <xdr:col>14</xdr:col>
      <xdr:colOff>619125</xdr:colOff>
      <xdr:row>4</xdr:row>
      <xdr:rowOff>104775</xdr:rowOff>
    </xdr:to>
    <xdr:sp macro="[0]!Filtro" textlink="">
      <xdr:nvSpPr>
        <xdr:cNvPr id="9" name="Oval 8"/>
        <xdr:cNvSpPr/>
      </xdr:nvSpPr>
      <xdr:spPr>
        <a:xfrm>
          <a:off x="8267700" y="95250"/>
          <a:ext cx="942975" cy="81915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25000"/>
            </a:schemeClr>
          </a:solidFill>
        </a:ln>
        <a:effectLst>
          <a:glow rad="101600">
            <a:schemeClr val="bg2">
              <a:lumMod val="50000"/>
              <a:alpha val="60000"/>
            </a:schemeClr>
          </a:glow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</a:rPr>
            <a:t>FILTRO</a:t>
          </a:r>
        </a:p>
      </xdr:txBody>
    </xdr:sp>
    <xdr:clientData/>
  </xdr:twoCellAnchor>
  <xdr:twoCellAnchor editAs="absolute">
    <xdr:from>
      <xdr:col>14</xdr:col>
      <xdr:colOff>1838325</xdr:colOff>
      <xdr:row>0</xdr:row>
      <xdr:rowOff>123825</xdr:rowOff>
    </xdr:from>
    <xdr:to>
      <xdr:col>15</xdr:col>
      <xdr:colOff>420291</xdr:colOff>
      <xdr:row>4</xdr:row>
      <xdr:rowOff>95250</xdr:rowOff>
    </xdr:to>
    <xdr:sp macro="" textlink="">
      <xdr:nvSpPr>
        <xdr:cNvPr id="10" name="Oval 9">
          <a:hlinkClick xmlns:r="http://schemas.openxmlformats.org/officeDocument/2006/relationships" r:id="rId1" tooltip="Clique aqui para voltar ao Painel"/>
        </xdr:cNvPr>
        <xdr:cNvSpPr>
          <a:spLocks noChangeAspect="1"/>
        </xdr:cNvSpPr>
      </xdr:nvSpPr>
      <xdr:spPr>
        <a:xfrm>
          <a:off x="10429875" y="123825"/>
          <a:ext cx="829866" cy="781050"/>
        </a:xfrm>
        <a:prstGeom prst="ellipse">
          <a:avLst/>
        </a:prstGeom>
        <a:ln w="38100">
          <a:solidFill>
            <a:srgbClr val="0070C0"/>
          </a:solidFill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VOLTAR</a:t>
          </a:r>
        </a:p>
        <a:p>
          <a:pPr algn="ctr"/>
          <a:r>
            <a:rPr lang="pt-BR" sz="1100" b="1"/>
            <a:t>PAINEL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lTipoEntrada" displayName="tblTipoEntrada" ref="A2:A7" totalsRowShown="0" headerRowDxfId="70" dataDxfId="69">
  <autoFilter ref="A2:A7"/>
  <sortState ref="A2:A5">
    <sortCondition ref="A2"/>
  </sortState>
  <tableColumns count="1">
    <tableColumn id="1" name="TIPO ENTRADA" dataDxfId="6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4" name="tblDinheiro" displayName="tblDinheiro" ref="G2:G3" totalsRowShown="0" headerRowDxfId="67" dataDxfId="66">
  <autoFilter ref="G2:G3"/>
  <tableColumns count="1">
    <tableColumn id="1" name="DINHEIRO" dataDxfId="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Cheque" displayName="tblCheque" ref="I2:I6" totalsRowShown="0" headerRowDxfId="64" dataDxfId="63">
  <autoFilter ref="I2:I6"/>
  <tableColumns count="1">
    <tableColumn id="1" name="CHEQUE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Débito" displayName="tblDébito" ref="K2:K3" totalsRowShown="0" headerRowDxfId="61" dataDxfId="60">
  <autoFilter ref="K2:K3"/>
  <tableColumns count="1">
    <tableColumn id="1" name="DÉBITO" data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blCrédito" displayName="tblCrédito" ref="M2:M5" totalsRowShown="0" headerRowDxfId="58" dataDxfId="57">
  <autoFilter ref="M2:M5"/>
  <tableColumns count="1">
    <tableColumn id="1" name="CRÉDITO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blTipoSaida" displayName="tblTipoSaida" ref="A17:A25" totalsRowShown="0" headerRowDxfId="55" dataDxfId="54">
  <autoFilter ref="A17:A25"/>
  <tableColumns count="1">
    <tableColumn id="1" name="TIPO SAIDA" dataDxfId="5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4" name="tblMeses" displayName="tblMeses" ref="C17:C29" totalsRowShown="0" headerRowDxfId="52" dataDxfId="51">
  <autoFilter ref="C17:C29"/>
  <tableColumns count="1">
    <tableColumn id="1" name="MESES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5" name="tblDoutores" displayName="tblDoutores" ref="C2:C4" totalsRowShown="0" headerRowDxfId="49" dataDxfId="48">
  <autoFilter ref="C2:C4"/>
  <sortState ref="C2:C3">
    <sortCondition ref="C2"/>
  </sortState>
  <tableColumns count="1">
    <tableColumn id="1" name="DR° / DRª" dataDxfId="4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6" name="tblPagamento" displayName="tblPagamento" ref="E2:E6" totalsRowShown="0" headerRowDxfId="46" dataDxfId="45">
  <autoFilter ref="E2:E6"/>
  <sortState ref="E2:E5">
    <sortCondition ref="E2"/>
  </sortState>
  <tableColumns count="1">
    <tableColumn id="1" name="FORMA PAGAMENTO" dataDxfId="4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blAnos" displayName="tblAnos" ref="H17:H33" totalsRowShown="0" headerRowDxfId="43" dataDxfId="42">
  <autoFilter ref="H17:H33"/>
  <tableColumns count="1">
    <tableColumn id="1" name="ANOS" dataDxfId="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" name="tblDados" displayName="tblDados" ref="A3:L4" totalsRowShown="0" headerRowDxfId="40" dataDxfId="39">
  <tableColumns count="12">
    <tableColumn id="1" name="CÓDIGO" dataDxfId="38"/>
    <tableColumn id="2" name="RECEITA" dataDxfId="37"/>
    <tableColumn id="3" name="NOME DOUTOR" dataDxfId="36"/>
    <tableColumn id="4" name="FORMA PAGAMENTO" dataDxfId="35"/>
    <tableColumn id="5" name="PRAZO" dataDxfId="34"/>
    <tableColumn id="6" name="DESPESA" dataDxfId="33"/>
    <tableColumn id="7" name="DESCRIÇÃO" dataDxfId="32"/>
    <tableColumn id="8" name="VALOR" dataDxfId="31"/>
    <tableColumn id="9" name="DIA" dataDxfId="30"/>
    <tableColumn id="10" name="MÊS" dataDxfId="29"/>
    <tableColumn id="11" name="ANO" dataDxfId="28"/>
    <tableColumn id="12" name="DATA DE REGISTRO" dataDxfId="2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tblReceita" displayName="tblReceita" ref="B4:O8" totalsRowShown="0" headerRowDxfId="26">
  <autoFilter ref="B4:O8"/>
  <tableColumns count="14">
    <tableColumn id="1" name="TIPO ENTRADA"/>
    <tableColumn id="2" name="JANEIRO" dataDxfId="25">
      <calculatedColumnFormula>SUMIFS(tblDados[VALOR],tblDados[RECEITA],tblReceita[[#This Row],[TIPO ENTRADA]],tblDados[MÊS],tblReceita[[#Headers],[JANEIRO]],tblDados[ANO],AnoFluxo)</calculatedColumnFormula>
    </tableColumn>
    <tableColumn id="3" name="FEVEREIRO" dataDxfId="24">
      <calculatedColumnFormula>SUMIFS(tblDados[VALOR],tblDados[RECEITA],tblReceita[[#This Row],[TIPO ENTRADA]],tblDados[MÊS],tblReceita[[#Headers],[FEVEREIRO]],tblDados[ANO],AnoFluxo)</calculatedColumnFormula>
    </tableColumn>
    <tableColumn id="4" name="MARÇO" dataDxfId="23">
      <calculatedColumnFormula>SUMIFS(tblDados[VALOR],tblDados[RECEITA],tblReceita[[#This Row],[TIPO ENTRADA]],tblDados[MÊS],tblReceita[[#Headers],[MARÇO]],tblDados[ANO],AnoFluxo)</calculatedColumnFormula>
    </tableColumn>
    <tableColumn id="5" name="ABRIL" dataDxfId="22">
      <calculatedColumnFormula>SUMIFS(tblDados[VALOR],tblDados[RECEITA],tblReceita[[#This Row],[TIPO ENTRADA]],tblDados[MÊS],tblReceita[[#Headers],[ABRIL]],tblDados[ANO],AnoFluxo)</calculatedColumnFormula>
    </tableColumn>
    <tableColumn id="6" name="MAIO" dataDxfId="21">
      <calculatedColumnFormula>SUMIFS(tblDados[VALOR],tblDados[RECEITA],tblReceita[[#This Row],[TIPO ENTRADA]],tblDados[MÊS],tblReceita[[#Headers],[MAIO]],tblDados[ANO],AnoFluxo)</calculatedColumnFormula>
    </tableColumn>
    <tableColumn id="7" name="JUNHO" dataDxfId="20">
      <calculatedColumnFormula>SUMIFS(tblDados[VALOR],tblDados[RECEITA],tblReceita[[#This Row],[TIPO ENTRADA]],tblDados[MÊS],tblReceita[[#Headers],[JUNHO]],tblDados[ANO],AnoFluxo)</calculatedColumnFormula>
    </tableColumn>
    <tableColumn id="8" name="JULHO" dataDxfId="19">
      <calculatedColumnFormula>SUMIFS(tblDados[VALOR],tblDados[RECEITA],tblReceita[[#This Row],[TIPO ENTRADA]],tblDados[MÊS],tblReceita[[#Headers],[JULHO]],tblDados[ANO],AnoFluxo)</calculatedColumnFormula>
    </tableColumn>
    <tableColumn id="9" name="AGOSTO" dataDxfId="18">
      <calculatedColumnFormula>SUMIFS(tblDados[VALOR],tblDados[RECEITA],tblReceita[[#This Row],[TIPO ENTRADA]],tblDados[MÊS],tblReceita[[#Headers],[AGOSTO]],tblDados[ANO],AnoFluxo)</calculatedColumnFormula>
    </tableColumn>
    <tableColumn id="10" name="SETEMBRO" dataDxfId="17">
      <calculatedColumnFormula>SUMIFS(tblDados[VALOR],tblDados[RECEITA],tblReceita[[#This Row],[TIPO ENTRADA]],tblDados[MÊS],tblReceita[[#Headers],[SETEMBRO]],tblDados[ANO],AnoFluxo)</calculatedColumnFormula>
    </tableColumn>
    <tableColumn id="11" name="OUTUBRO" dataDxfId="16">
      <calculatedColumnFormula>SUMIFS(tblDados[VALOR],tblDados[RECEITA],tblReceita[[#This Row],[TIPO ENTRADA]],tblDados[MÊS],tblReceita[[#Headers],[OUTUBRO]],tblDados[ANO],AnoFluxo)</calculatedColumnFormula>
    </tableColumn>
    <tableColumn id="12" name="NOVEMBRO" dataDxfId="15">
      <calculatedColumnFormula>SUMIFS(tblDados[VALOR],tblDados[RECEITA],tblReceita[[#This Row],[TIPO ENTRADA]],tblDados[MÊS],tblReceita[[#Headers],[NOVEMBRO]],tblDados[ANO],AnoFluxo)</calculatedColumnFormula>
    </tableColumn>
    <tableColumn id="13" name="DEZEMBRO" dataDxfId="14">
      <calculatedColumnFormula>SUMIFS(tblDados[VALOR],tblDados[RECEITA],tblReceita[[#This Row],[TIPO ENTRADA]],tblDados[MÊS],tblReceita[[#Headers],[DEZEMBRO]],tblDados[ANO],AnoFluxo)</calculatedColumnFormula>
    </tableColumn>
    <tableColumn id="14" name="TOTAL" dataDxfId="13">
      <calculatedColumnFormula>SUM(tblReceita[[#This Row],[JANEIRO]:[DEZEMBRO]])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" name="tblDespesa" displayName="tblDespesa" ref="B10:O18" totalsRowShown="0">
  <autoFilter ref="B10:O18"/>
  <tableColumns count="14">
    <tableColumn id="1" name="TIPO SAIDA"/>
    <tableColumn id="2" name="JANEIRO" dataDxfId="12">
      <calculatedColumnFormula>SUMIFS(tblDados[VALOR],tblDados[DESPESA],tblDespesa[[#This Row],[TIPO SAIDA]],tblDados[MÊS],tblDespesa[[#Headers],[JANEIRO]],tblDados[ANO],AnoFluxo)</calculatedColumnFormula>
    </tableColumn>
    <tableColumn id="3" name="FEVEREIRO" dataDxfId="11">
      <calculatedColumnFormula>SUMIFS(tblDados[VALOR],tblDados[DESPESA],tblDespesa[[#This Row],[TIPO SAIDA]],tblDados[MÊS],tblDespesa[[#Headers],[FEVEREIRO]],tblDados[ANO],AnoFluxo)</calculatedColumnFormula>
    </tableColumn>
    <tableColumn id="4" name="MARÇO" dataDxfId="10">
      <calculatedColumnFormula>SUMIFS(tblDados[VALOR],tblDados[DESPESA],tblDespesa[[#This Row],[TIPO SAIDA]],tblDados[MÊS],tblDespesa[[#Headers],[MARÇO]],tblDados[ANO],AnoFluxo)</calculatedColumnFormula>
    </tableColumn>
    <tableColumn id="5" name="ABRIL" dataDxfId="9">
      <calculatedColumnFormula>SUMIFS(tblDados[VALOR],tblDados[DESPESA],tblDespesa[[#This Row],[TIPO SAIDA]],tblDados[MÊS],tblDespesa[[#Headers],[ABRIL]],tblDados[ANO],AnoFluxo)</calculatedColumnFormula>
    </tableColumn>
    <tableColumn id="6" name="MAIO" dataDxfId="8">
      <calculatedColumnFormula>SUMIFS(tblDados[VALOR],tblDados[DESPESA],tblDespesa[[#This Row],[TIPO SAIDA]],tblDados[MÊS],tblDespesa[[#Headers],[MAIO]],tblDados[ANO],AnoFluxo)</calculatedColumnFormula>
    </tableColumn>
    <tableColumn id="7" name="JUNHO" dataDxfId="7">
      <calculatedColumnFormula>SUMIFS(tblDados[VALOR],tblDados[DESPESA],tblDespesa[[#This Row],[TIPO SAIDA]],tblDados[MÊS],tblDespesa[[#Headers],[JUNHO]],tblDados[ANO],AnoFluxo)</calculatedColumnFormula>
    </tableColumn>
    <tableColumn id="8" name="JULHO" dataDxfId="6">
      <calculatedColumnFormula>SUMIFS(tblDados[VALOR],tblDados[DESPESA],tblDespesa[[#This Row],[TIPO SAIDA]],tblDados[MÊS],tblDespesa[[#Headers],[JULHO]],tblDados[ANO],AnoFluxo)</calculatedColumnFormula>
    </tableColumn>
    <tableColumn id="9" name="AGOSTO" dataDxfId="5">
      <calculatedColumnFormula>SUMIFS(tblDados[VALOR],tblDados[DESPESA],tblDespesa[[#This Row],[TIPO SAIDA]],tblDados[MÊS],tblDespesa[[#Headers],[AGOSTO]],tblDados[ANO],AnoFluxo)</calculatedColumnFormula>
    </tableColumn>
    <tableColumn id="10" name="SETEMBRO" dataDxfId="4">
      <calculatedColumnFormula>SUMIFS(tblDados[VALOR],tblDados[DESPESA],tblDespesa[[#This Row],[TIPO SAIDA]],tblDados[MÊS],tblDespesa[[#Headers],[SETEMBRO]],tblDados[ANO],AnoFluxo)</calculatedColumnFormula>
    </tableColumn>
    <tableColumn id="11" name="OUTUBRO" dataDxfId="3">
      <calculatedColumnFormula>SUMIFS(tblDados[VALOR],tblDados[DESPESA],tblDespesa[[#This Row],[TIPO SAIDA]],tblDados[MÊS],tblDespesa[[#Headers],[OUTUBRO]],tblDados[ANO],AnoFluxo)</calculatedColumnFormula>
    </tableColumn>
    <tableColumn id="12" name="NOVEMBRO" dataDxfId="2">
      <calculatedColumnFormula>SUMIFS(tblDados[VALOR],tblDados[DESPESA],tblDespesa[[#This Row],[TIPO SAIDA]],tblDados[MÊS],tblDespesa[[#Headers],[NOVEMBRO]],tblDados[ANO],AnoFluxo)</calculatedColumnFormula>
    </tableColumn>
    <tableColumn id="13" name="DEZEMBRO" dataDxfId="1">
      <calculatedColumnFormula>SUMIFS(tblDados[VALOR],tblDados[DESPESA],tblDespesa[[#This Row],[TIPO SAIDA]],tblDados[MÊS],tblDespesa[[#Headers],[DEZEMBRO]],tblDados[ANO],AnoFluxo)</calculatedColumnFormula>
    </tableColumn>
    <tableColumn id="14" name="TOTAL" dataDxfId="0">
      <calculatedColumnFormula>SUM(tblDespesa[[#This Row],[JANEIRO]:[DEZEMBRO]])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>
    <pageSetUpPr fitToPage="1"/>
  </sheetPr>
  <dimension ref="A1:M50"/>
  <sheetViews>
    <sheetView showGridLines="0" showRowColHeaders="0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27" style="71" bestFit="1" customWidth="1"/>
    <col min="2" max="2" width="9.140625" style="71"/>
    <col min="3" max="3" width="19.28515625" style="71" bestFit="1" customWidth="1"/>
    <col min="4" max="4" width="9.140625" style="71"/>
    <col min="5" max="5" width="22.140625" style="71" customWidth="1"/>
    <col min="6" max="6" width="9.140625" style="71"/>
    <col min="7" max="7" width="18" style="71" customWidth="1"/>
    <col min="8" max="8" width="9.140625" style="71"/>
    <col min="9" max="9" width="15.42578125" style="71" bestFit="1" customWidth="1"/>
    <col min="10" max="10" width="9.140625" style="71"/>
    <col min="11" max="11" width="11.5703125" style="71" bestFit="1" customWidth="1"/>
    <col min="12" max="12" width="9.140625" style="71"/>
    <col min="13" max="13" width="10.7109375" style="71" customWidth="1"/>
    <col min="14" max="16384" width="9.140625" style="71"/>
  </cols>
  <sheetData>
    <row r="1" spans="1:13" s="11" customFormat="1" ht="64.5" customHeight="1" x14ac:dyDescent="0.25">
      <c r="D1" s="78" t="s">
        <v>74</v>
      </c>
    </row>
    <row r="2" spans="1:13" x14ac:dyDescent="0.25">
      <c r="A2" s="71" t="s">
        <v>2</v>
      </c>
      <c r="C2" s="71" t="s">
        <v>41</v>
      </c>
      <c r="E2" s="71" t="s">
        <v>45</v>
      </c>
      <c r="G2" s="71" t="s">
        <v>3</v>
      </c>
      <c r="I2" s="71" t="s">
        <v>4</v>
      </c>
      <c r="K2" s="71" t="s">
        <v>5</v>
      </c>
      <c r="M2" s="71" t="s">
        <v>6</v>
      </c>
    </row>
    <row r="3" spans="1:13" x14ac:dyDescent="0.25">
      <c r="A3" s="71" t="s">
        <v>44</v>
      </c>
      <c r="C3" s="71" t="s">
        <v>43</v>
      </c>
      <c r="E3" s="71" t="s">
        <v>4</v>
      </c>
      <c r="G3" s="71" t="s">
        <v>7</v>
      </c>
      <c r="I3" s="71" t="s">
        <v>7</v>
      </c>
      <c r="K3" s="71" t="s">
        <v>7</v>
      </c>
      <c r="M3" s="71" t="s">
        <v>8</v>
      </c>
    </row>
    <row r="4" spans="1:13" x14ac:dyDescent="0.25">
      <c r="A4" s="71" t="s">
        <v>1</v>
      </c>
      <c r="C4" s="71" t="s">
        <v>42</v>
      </c>
      <c r="E4" s="71" t="s">
        <v>6</v>
      </c>
      <c r="I4" s="71" t="s">
        <v>8</v>
      </c>
      <c r="M4" s="71" t="s">
        <v>9</v>
      </c>
    </row>
    <row r="5" spans="1:13" x14ac:dyDescent="0.25">
      <c r="A5" s="71" t="s">
        <v>50</v>
      </c>
      <c r="E5" s="71" t="s">
        <v>5</v>
      </c>
      <c r="I5" s="71" t="s">
        <v>9</v>
      </c>
      <c r="M5" s="71" t="s">
        <v>10</v>
      </c>
    </row>
    <row r="6" spans="1:13" x14ac:dyDescent="0.25">
      <c r="A6" s="71" t="s">
        <v>0</v>
      </c>
      <c r="E6" s="71" t="s">
        <v>3</v>
      </c>
      <c r="I6" s="71" t="s">
        <v>10</v>
      </c>
    </row>
    <row r="7" spans="1:13" x14ac:dyDescent="0.25">
      <c r="A7" s="71" t="s">
        <v>69</v>
      </c>
    </row>
    <row r="17" spans="1:8" x14ac:dyDescent="0.25">
      <c r="A17" s="71" t="s">
        <v>11</v>
      </c>
      <c r="C17" s="71" t="s">
        <v>40</v>
      </c>
      <c r="H17" s="75" t="s">
        <v>68</v>
      </c>
    </row>
    <row r="18" spans="1:8" x14ac:dyDescent="0.25">
      <c r="A18" s="71" t="s">
        <v>12</v>
      </c>
      <c r="C18" s="89" t="s">
        <v>29</v>
      </c>
      <c r="H18" s="75">
        <v>2015</v>
      </c>
    </row>
    <row r="19" spans="1:8" x14ac:dyDescent="0.25">
      <c r="A19" s="71" t="s">
        <v>13</v>
      </c>
      <c r="C19" s="89" t="s">
        <v>27</v>
      </c>
      <c r="H19" s="75">
        <v>2016</v>
      </c>
    </row>
    <row r="20" spans="1:8" x14ac:dyDescent="0.25">
      <c r="A20" s="71" t="s">
        <v>14</v>
      </c>
      <c r="C20" s="89" t="s">
        <v>30</v>
      </c>
      <c r="H20" s="75">
        <v>2017</v>
      </c>
    </row>
    <row r="21" spans="1:8" x14ac:dyDescent="0.25">
      <c r="A21" s="71" t="s">
        <v>15</v>
      </c>
      <c r="C21" s="89" t="s">
        <v>31</v>
      </c>
      <c r="H21" s="75">
        <v>2018</v>
      </c>
    </row>
    <row r="22" spans="1:8" x14ac:dyDescent="0.25">
      <c r="A22" s="71" t="s">
        <v>16</v>
      </c>
      <c r="C22" s="89" t="s">
        <v>32</v>
      </c>
      <c r="H22" s="75">
        <v>2019</v>
      </c>
    </row>
    <row r="23" spans="1:8" x14ac:dyDescent="0.25">
      <c r="A23" s="71" t="s">
        <v>17</v>
      </c>
      <c r="C23" s="89" t="s">
        <v>33</v>
      </c>
      <c r="H23" s="75">
        <v>2020</v>
      </c>
    </row>
    <row r="24" spans="1:8" x14ac:dyDescent="0.25">
      <c r="A24" s="71" t="s">
        <v>18</v>
      </c>
      <c r="C24" s="89" t="s">
        <v>34</v>
      </c>
      <c r="H24" s="75">
        <v>2021</v>
      </c>
    </row>
    <row r="25" spans="1:8" x14ac:dyDescent="0.25">
      <c r="A25" s="71" t="s">
        <v>19</v>
      </c>
      <c r="C25" s="89" t="s">
        <v>35</v>
      </c>
      <c r="H25" s="75">
        <v>2022</v>
      </c>
    </row>
    <row r="26" spans="1:8" x14ac:dyDescent="0.25">
      <c r="C26" s="89" t="s">
        <v>36</v>
      </c>
      <c r="H26" s="75">
        <v>2023</v>
      </c>
    </row>
    <row r="27" spans="1:8" x14ac:dyDescent="0.25">
      <c r="C27" s="89" t="s">
        <v>37</v>
      </c>
      <c r="H27" s="75">
        <v>2024</v>
      </c>
    </row>
    <row r="28" spans="1:8" x14ac:dyDescent="0.25">
      <c r="C28" s="89" t="s">
        <v>38</v>
      </c>
      <c r="H28" s="75">
        <v>2025</v>
      </c>
    </row>
    <row r="29" spans="1:8" x14ac:dyDescent="0.25">
      <c r="C29" s="89" t="s">
        <v>39</v>
      </c>
      <c r="H29" s="75">
        <v>2026</v>
      </c>
    </row>
    <row r="30" spans="1:8" x14ac:dyDescent="0.25">
      <c r="H30" s="75">
        <v>2027</v>
      </c>
    </row>
    <row r="31" spans="1:8" x14ac:dyDescent="0.25">
      <c r="H31" s="75">
        <v>2028</v>
      </c>
    </row>
    <row r="32" spans="1:8" x14ac:dyDescent="0.25">
      <c r="H32" s="75">
        <v>2029</v>
      </c>
    </row>
    <row r="33" spans="1:8" x14ac:dyDescent="0.25">
      <c r="H33" s="75">
        <v>2030</v>
      </c>
    </row>
    <row r="45" spans="1:8" x14ac:dyDescent="0.25">
      <c r="A45" s="72" t="s">
        <v>60</v>
      </c>
      <c r="B45" s="73"/>
      <c r="C45" s="73"/>
      <c r="D45" s="73"/>
      <c r="E45" s="73"/>
      <c r="F45" s="74"/>
    </row>
    <row r="46" spans="1:8" x14ac:dyDescent="0.25">
      <c r="A46" s="76" t="s">
        <v>61</v>
      </c>
      <c r="B46" s="76" t="str">
        <f>"DEMONSTRATIVO DO FLUXO DE CAIXA DO MÊS DE "&amp;VisaoG</f>
        <v>DEMONSTRATIVO DO FLUXO DE CAIXA DO MÊS DE NOVEMBRO</v>
      </c>
      <c r="C46" s="76"/>
      <c r="D46" s="76"/>
      <c r="E46" s="76"/>
      <c r="F46" s="76"/>
    </row>
    <row r="47" spans="1:8" x14ac:dyDescent="0.25">
      <c r="A47" s="77" t="s">
        <v>62</v>
      </c>
      <c r="B47" s="77" t="str">
        <f>"DEMONSTRATIVO DAS DESPESAS DO MÊS DE "&amp;VisaoG</f>
        <v>DEMONSTRATIVO DAS DESPESAS DO MÊS DE NOVEMBRO</v>
      </c>
      <c r="C47" s="77"/>
      <c r="D47" s="77"/>
      <c r="E47" s="77"/>
      <c r="F47" s="77"/>
    </row>
    <row r="48" spans="1:8" x14ac:dyDescent="0.25">
      <c r="A48" s="77" t="s">
        <v>63</v>
      </c>
      <c r="B48" s="77" t="str">
        <f>"DEMONSTRATIVO DAS RECEITAS/DESPESAS/FLUXO DO ANO "&amp;AnoFluxo</f>
        <v>DEMONSTRATIVO DAS RECEITAS/DESPESAS/FLUXO DO ANO 2015</v>
      </c>
      <c r="C48" s="77"/>
      <c r="D48" s="77"/>
      <c r="E48" s="77"/>
      <c r="F48" s="77"/>
    </row>
    <row r="49" spans="1:6" x14ac:dyDescent="0.25">
      <c r="A49" s="77" t="s">
        <v>64</v>
      </c>
      <c r="B49" s="77" t="str">
        <f>"DEMONSTRATIVO DAS DESPESAS DO ANO DE "&amp;AnoFluxo</f>
        <v>DEMONSTRATIVO DAS DESPESAS DO ANO DE 2015</v>
      </c>
      <c r="C49" s="77"/>
      <c r="D49" s="77"/>
      <c r="E49" s="77"/>
      <c r="F49" s="77"/>
    </row>
    <row r="50" spans="1:6" x14ac:dyDescent="0.25">
      <c r="A50" s="77" t="s">
        <v>65</v>
      </c>
      <c r="B50" s="77" t="str">
        <f>"DEMONSTRATIVO DO FLUXO DE CAIXA DE "&amp;AnoFluxo</f>
        <v>DEMONSTRATIVO DO FLUXO DE CAIXA DE 2015</v>
      </c>
      <c r="C50" s="77"/>
      <c r="D50" s="77"/>
      <c r="E50" s="77"/>
      <c r="F50" s="77"/>
    </row>
  </sheetData>
  <sheetProtection selectLockedCells="1"/>
  <sortState ref="C17:C18">
    <sortCondition ref="C8"/>
  </sortState>
  <pageMargins left="0.7" right="0.7" top="0.75" bottom="0.75" header="0.3" footer="0.3"/>
  <pageSetup paperSize="9" scale="49" orientation="portrait" horizontalDpi="0" verticalDpi="0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ainel">
    <pageSetUpPr fitToPage="1"/>
  </sheetPr>
  <dimension ref="A1:Y50"/>
  <sheetViews>
    <sheetView showGridLines="0" showRowColHeaders="0" tabSelected="1" workbookViewId="0">
      <selection activeCell="D24" sqref="D24"/>
    </sheetView>
  </sheetViews>
  <sheetFormatPr defaultRowHeight="15" x14ac:dyDescent="0.25"/>
  <cols>
    <col min="1" max="1" width="3.85546875" style="79" customWidth="1"/>
    <col min="2" max="3" width="9.140625" style="79"/>
    <col min="4" max="4" width="10.5703125" style="79" customWidth="1"/>
    <col min="5" max="6" width="9.140625" style="79"/>
    <col min="7" max="7" width="2.140625" style="79" customWidth="1"/>
    <col min="8" max="9" width="9.140625" style="79"/>
    <col min="10" max="10" width="7.28515625" style="79" customWidth="1"/>
    <col min="11" max="11" width="11" style="79" customWidth="1"/>
    <col min="12" max="16384" width="9.140625" style="79"/>
  </cols>
  <sheetData>
    <row r="1" spans="1:11" ht="22.5" customHeight="1" x14ac:dyDescent="0.25"/>
    <row r="2" spans="1:11" ht="22.5" customHeight="1" x14ac:dyDescent="0.25">
      <c r="F2" s="95">
        <v>2015</v>
      </c>
      <c r="G2" s="95"/>
    </row>
    <row r="3" spans="1:11" ht="22.5" customHeight="1" x14ac:dyDescent="0.25"/>
    <row r="4" spans="1:11" s="80" customFormat="1" x14ac:dyDescent="0.25"/>
    <row r="5" spans="1:11" s="80" customFormat="1" ht="15.75" customHeight="1" x14ac:dyDescent="0.25"/>
    <row r="6" spans="1:11" ht="18" hidden="1" customHeight="1" x14ac:dyDescent="0.25">
      <c r="A6" s="81">
        <v>1</v>
      </c>
      <c r="B6" s="82"/>
      <c r="C6" s="82"/>
      <c r="D6" s="82"/>
      <c r="E6" s="82"/>
      <c r="F6" s="81">
        <v>1</v>
      </c>
      <c r="G6" s="81"/>
      <c r="H6" s="83"/>
      <c r="I6" s="83"/>
      <c r="J6" s="83"/>
    </row>
    <row r="7" spans="1:11" ht="15.75" customHeight="1" x14ac:dyDescent="0.25">
      <c r="A7" s="82"/>
      <c r="B7" s="82"/>
      <c r="C7" s="82"/>
      <c r="D7" s="82"/>
      <c r="E7" s="82"/>
      <c r="F7" s="82"/>
      <c r="G7" s="82"/>
      <c r="H7" s="83"/>
      <c r="I7" s="83"/>
      <c r="J7" s="83"/>
    </row>
    <row r="8" spans="1:11" ht="15.75" customHeight="1" x14ac:dyDescent="0.25">
      <c r="A8" s="82"/>
      <c r="B8" s="82"/>
      <c r="C8" s="82"/>
      <c r="D8" s="82"/>
      <c r="E8" s="82"/>
      <c r="F8" s="82"/>
      <c r="G8" s="82"/>
      <c r="H8" s="83"/>
      <c r="I8" s="83"/>
      <c r="J8" s="83"/>
      <c r="K8" s="84"/>
    </row>
    <row r="9" spans="1:11" ht="15.75" customHeight="1" x14ac:dyDescent="0.25">
      <c r="A9" s="82"/>
      <c r="B9" s="85" t="s">
        <v>48</v>
      </c>
      <c r="C9" s="82"/>
      <c r="D9" s="82"/>
      <c r="E9" s="82"/>
      <c r="F9" s="82"/>
      <c r="G9" s="82"/>
      <c r="H9" s="83"/>
      <c r="I9" s="83"/>
      <c r="J9" s="83"/>
    </row>
    <row r="10" spans="1:11" ht="15.75" customHeight="1" x14ac:dyDescent="0.25">
      <c r="A10" s="82"/>
      <c r="B10" s="96"/>
      <c r="C10" s="96"/>
      <c r="D10" s="96"/>
      <c r="E10" s="82"/>
      <c r="F10" s="82"/>
      <c r="G10" s="82"/>
      <c r="H10" s="83"/>
      <c r="I10" s="83"/>
      <c r="J10" s="83"/>
    </row>
    <row r="11" spans="1:11" ht="15.75" customHeight="1" x14ac:dyDescent="0.25">
      <c r="A11" s="82"/>
      <c r="B11" s="85" t="s">
        <v>41</v>
      </c>
      <c r="C11" s="82"/>
      <c r="D11" s="82"/>
      <c r="E11" s="82"/>
      <c r="F11" s="82"/>
      <c r="G11" s="82"/>
      <c r="H11" s="83"/>
      <c r="I11" s="83"/>
      <c r="J11" s="83"/>
    </row>
    <row r="12" spans="1:11" ht="15.75" customHeight="1" x14ac:dyDescent="0.25">
      <c r="A12" s="82"/>
      <c r="B12" s="96"/>
      <c r="C12" s="96"/>
      <c r="D12" s="96"/>
      <c r="E12" s="82"/>
      <c r="F12" s="82"/>
      <c r="G12" s="82"/>
      <c r="H12" s="83"/>
      <c r="I12" s="83"/>
      <c r="J12" s="83"/>
    </row>
    <row r="13" spans="1:11" ht="15.75" customHeight="1" x14ac:dyDescent="0.25">
      <c r="A13" s="82"/>
      <c r="B13" s="85" t="s">
        <v>20</v>
      </c>
      <c r="C13" s="82"/>
      <c r="D13" s="82"/>
      <c r="E13" s="82"/>
      <c r="F13" s="82"/>
      <c r="G13" s="82"/>
      <c r="H13" s="83"/>
      <c r="I13" s="83"/>
      <c r="J13" s="83"/>
    </row>
    <row r="14" spans="1:11" ht="15.75" customHeight="1" x14ac:dyDescent="0.25">
      <c r="A14" s="82"/>
      <c r="B14" s="96"/>
      <c r="C14" s="96"/>
      <c r="D14" s="96"/>
      <c r="E14" s="82"/>
      <c r="F14" s="82"/>
      <c r="G14" s="82"/>
      <c r="H14" s="83"/>
      <c r="I14" s="83"/>
      <c r="J14" s="83"/>
    </row>
    <row r="15" spans="1:11" ht="15.75" customHeight="1" x14ac:dyDescent="0.25">
      <c r="A15" s="82"/>
      <c r="B15" s="85" t="s">
        <v>21</v>
      </c>
      <c r="C15" s="82"/>
      <c r="D15" s="82"/>
      <c r="E15" s="82"/>
      <c r="F15" s="82"/>
      <c r="G15" s="82"/>
      <c r="H15" s="83"/>
      <c r="I15" s="83"/>
      <c r="J15" s="83"/>
    </row>
    <row r="16" spans="1:11" ht="15.75" customHeight="1" x14ac:dyDescent="0.25">
      <c r="A16" s="82"/>
      <c r="B16" s="96"/>
      <c r="C16" s="96"/>
      <c r="D16" s="96"/>
      <c r="E16" s="82"/>
      <c r="F16" s="82"/>
      <c r="G16" s="82"/>
      <c r="H16" s="83"/>
      <c r="I16" s="83"/>
      <c r="J16" s="83"/>
    </row>
    <row r="17" spans="1:10" ht="15.75" hidden="1" customHeight="1" x14ac:dyDescent="0.25">
      <c r="A17" s="82"/>
      <c r="B17" s="85" t="s">
        <v>22</v>
      </c>
      <c r="C17" s="82"/>
      <c r="D17" s="82"/>
      <c r="E17" s="82"/>
      <c r="F17" s="82"/>
      <c r="G17" s="82"/>
      <c r="H17" s="83"/>
      <c r="I17" s="83"/>
      <c r="J17" s="83"/>
    </row>
    <row r="18" spans="1:10" ht="15.75" hidden="1" customHeight="1" x14ac:dyDescent="0.25">
      <c r="A18" s="82"/>
      <c r="B18" s="96"/>
      <c r="C18" s="96"/>
      <c r="D18" s="96"/>
      <c r="E18" s="82"/>
      <c r="F18" s="82"/>
      <c r="G18" s="82"/>
      <c r="H18" s="83"/>
      <c r="I18" s="83"/>
      <c r="J18" s="83"/>
    </row>
    <row r="19" spans="1:10" ht="15.75" customHeight="1" x14ac:dyDescent="0.25">
      <c r="A19" s="82"/>
      <c r="B19" s="85" t="s">
        <v>23</v>
      </c>
      <c r="C19" s="82"/>
      <c r="D19" s="82"/>
      <c r="E19" s="82"/>
      <c r="F19" s="82"/>
      <c r="G19" s="82"/>
      <c r="H19" s="83"/>
      <c r="I19" s="83"/>
      <c r="J19" s="83"/>
    </row>
    <row r="20" spans="1:10" ht="15.75" customHeight="1" x14ac:dyDescent="0.25">
      <c r="A20" s="82"/>
      <c r="B20" s="96"/>
      <c r="C20" s="96"/>
      <c r="D20" s="96"/>
      <c r="E20" s="96"/>
      <c r="F20" s="82"/>
      <c r="G20" s="82"/>
      <c r="H20" s="83"/>
      <c r="I20" s="83"/>
      <c r="J20" s="83"/>
    </row>
    <row r="21" spans="1:10" ht="15.75" customHeight="1" x14ac:dyDescent="0.25">
      <c r="A21" s="82"/>
      <c r="B21" s="85" t="s">
        <v>28</v>
      </c>
      <c r="C21" s="82"/>
      <c r="D21" s="82"/>
      <c r="E21" s="82"/>
      <c r="F21" s="82"/>
      <c r="G21" s="82"/>
      <c r="H21" s="83"/>
      <c r="I21" s="83"/>
      <c r="J21" s="83"/>
    </row>
    <row r="22" spans="1:10" ht="15.75" customHeight="1" x14ac:dyDescent="0.25">
      <c r="A22" s="82"/>
      <c r="B22" s="97"/>
      <c r="C22" s="97"/>
      <c r="D22" s="97"/>
      <c r="E22" s="82"/>
      <c r="F22" s="82"/>
      <c r="G22" s="82"/>
      <c r="H22" s="83"/>
      <c r="I22" s="83"/>
      <c r="J22" s="83"/>
    </row>
    <row r="23" spans="1:10" ht="15.75" customHeight="1" x14ac:dyDescent="0.25">
      <c r="A23" s="82"/>
      <c r="B23" s="85" t="s">
        <v>24</v>
      </c>
      <c r="C23" s="82"/>
      <c r="D23" s="85" t="s">
        <v>25</v>
      </c>
      <c r="E23" s="82"/>
      <c r="F23" s="85" t="s">
        <v>26</v>
      </c>
      <c r="G23" s="82"/>
      <c r="H23" s="83"/>
      <c r="I23" s="83"/>
      <c r="J23" s="83"/>
    </row>
    <row r="24" spans="1:10" ht="15.75" customHeight="1" x14ac:dyDescent="0.25">
      <c r="A24" s="82"/>
      <c r="B24" s="86"/>
      <c r="C24" s="82"/>
      <c r="D24" s="88"/>
      <c r="E24" s="82"/>
      <c r="F24" s="86"/>
      <c r="G24" s="82"/>
      <c r="H24" s="83"/>
      <c r="I24" s="83"/>
      <c r="J24" s="83"/>
    </row>
    <row r="25" spans="1:10" ht="15.75" customHeight="1" x14ac:dyDescent="0.25">
      <c r="A25" s="82"/>
      <c r="B25" s="82"/>
      <c r="C25" s="82"/>
      <c r="D25" s="82"/>
      <c r="E25" s="82"/>
      <c r="F25" s="82"/>
      <c r="G25" s="82"/>
      <c r="H25" s="83"/>
      <c r="I25" s="83"/>
      <c r="J25" s="83"/>
    </row>
    <row r="26" spans="1:10" ht="15.75" customHeight="1" x14ac:dyDescent="0.25">
      <c r="A26" s="82"/>
      <c r="B26" s="82"/>
      <c r="C26" s="82"/>
      <c r="D26" s="82"/>
      <c r="E26" s="82"/>
      <c r="F26" s="82"/>
      <c r="G26" s="82"/>
      <c r="H26" s="83"/>
      <c r="I26" s="83"/>
      <c r="J26" s="83"/>
    </row>
    <row r="27" spans="1:10" ht="15.75" customHeight="1" x14ac:dyDescent="0.25">
      <c r="A27" s="82"/>
      <c r="B27" s="82"/>
      <c r="C27" s="82"/>
      <c r="D27" s="82"/>
      <c r="E27" s="82"/>
      <c r="F27" s="82"/>
      <c r="G27" s="82"/>
      <c r="H27" s="83"/>
      <c r="I27" s="83"/>
      <c r="J27" s="83"/>
    </row>
    <row r="28" spans="1:10" ht="15.75" customHeight="1" x14ac:dyDescent="0.25">
      <c r="A28" s="82"/>
      <c r="B28" s="82"/>
      <c r="C28" s="82"/>
      <c r="D28" s="82"/>
      <c r="E28" s="82"/>
      <c r="F28" s="82"/>
      <c r="G28" s="82"/>
      <c r="H28" s="83"/>
      <c r="I28" s="83"/>
      <c r="J28" s="83"/>
    </row>
    <row r="29" spans="1:10" ht="15.75" customHeight="1" x14ac:dyDescent="0.25">
      <c r="A29" s="82"/>
      <c r="B29" s="82"/>
      <c r="C29" s="82"/>
      <c r="D29" s="82"/>
      <c r="E29" s="82"/>
      <c r="F29" s="82"/>
      <c r="G29" s="82"/>
      <c r="H29" s="83"/>
      <c r="I29" s="83"/>
      <c r="J29" s="83"/>
    </row>
    <row r="30" spans="1:10" ht="15.75" customHeight="1" x14ac:dyDescent="0.25">
      <c r="A30" s="82"/>
      <c r="B30" s="82"/>
      <c r="C30" s="82"/>
      <c r="D30" s="82"/>
      <c r="E30" s="82"/>
      <c r="F30" s="82"/>
      <c r="G30" s="82"/>
      <c r="H30" s="83"/>
      <c r="I30" s="83"/>
      <c r="J30" s="83"/>
    </row>
    <row r="31" spans="1:10" ht="15.75" hidden="1" customHeight="1" x14ac:dyDescent="0.25">
      <c r="A31" s="82"/>
      <c r="B31" s="82"/>
      <c r="C31" s="82"/>
      <c r="D31" s="82"/>
      <c r="E31" s="82"/>
      <c r="F31" s="82"/>
      <c r="G31" s="82"/>
      <c r="H31" s="83"/>
      <c r="I31" s="83"/>
      <c r="J31" s="83"/>
    </row>
    <row r="32" spans="1:10" ht="15.75" hidden="1" customHeight="1" x14ac:dyDescent="0.25">
      <c r="A32" s="82"/>
      <c r="B32" s="82"/>
      <c r="C32" s="82"/>
      <c r="D32" s="82"/>
      <c r="E32" s="82"/>
      <c r="F32" s="82"/>
      <c r="G32" s="82"/>
      <c r="H32" s="83"/>
      <c r="I32" s="83"/>
      <c r="J32" s="83"/>
    </row>
    <row r="33" spans="1:25" ht="15.75" hidden="1" customHeight="1" x14ac:dyDescent="0.25">
      <c r="A33" s="82"/>
      <c r="B33" s="82"/>
      <c r="C33" s="82"/>
      <c r="D33" s="82"/>
      <c r="E33" s="82"/>
      <c r="F33" s="82"/>
      <c r="G33" s="82"/>
      <c r="H33" s="83"/>
      <c r="I33" s="83"/>
      <c r="J33" s="83"/>
    </row>
    <row r="34" spans="1:25" ht="15.75" hidden="1" customHeight="1" x14ac:dyDescent="0.25">
      <c r="A34" s="82"/>
      <c r="B34" s="82"/>
      <c r="C34" s="82"/>
      <c r="D34" s="82"/>
      <c r="E34" s="82"/>
      <c r="F34" s="82"/>
      <c r="G34" s="82"/>
      <c r="H34" s="83"/>
      <c r="I34" s="83"/>
      <c r="J34" s="83"/>
    </row>
    <row r="35" spans="1:25" ht="15.75" hidden="1" customHeight="1" x14ac:dyDescent="0.25">
      <c r="A35" s="82"/>
      <c r="B35" s="82"/>
      <c r="C35" s="82"/>
      <c r="D35" s="82"/>
      <c r="E35" s="82"/>
      <c r="F35" s="82"/>
      <c r="G35" s="82"/>
      <c r="H35" s="83"/>
      <c r="I35" s="83"/>
      <c r="J35" s="83"/>
    </row>
    <row r="36" spans="1:25" ht="15.75" hidden="1" customHeight="1" x14ac:dyDescent="0.25">
      <c r="A36" s="82"/>
      <c r="B36" s="82"/>
      <c r="C36" s="82"/>
      <c r="D36" s="82"/>
      <c r="E36" s="82"/>
      <c r="F36" s="82"/>
      <c r="G36" s="82"/>
      <c r="H36" s="83"/>
      <c r="I36" s="83"/>
      <c r="J36" s="83"/>
    </row>
    <row r="37" spans="1:25" ht="15.75" hidden="1" customHeight="1" x14ac:dyDescent="0.25">
      <c r="A37" s="82"/>
      <c r="B37" s="82"/>
      <c r="C37" s="82"/>
      <c r="D37" s="82"/>
      <c r="E37" s="82"/>
      <c r="F37" s="82"/>
      <c r="G37" s="82"/>
      <c r="H37" s="83"/>
      <c r="I37" s="83"/>
      <c r="J37" s="83"/>
    </row>
    <row r="38" spans="1:25" ht="15.75" hidden="1" customHeight="1" x14ac:dyDescent="0.25">
      <c r="A38" s="82"/>
      <c r="B38" s="82"/>
      <c r="C38" s="82"/>
      <c r="D38" s="82"/>
      <c r="E38" s="82"/>
      <c r="F38" s="82"/>
      <c r="G38" s="82"/>
      <c r="H38" s="87"/>
      <c r="I38" s="87"/>
      <c r="J38" s="87"/>
    </row>
    <row r="39" spans="1:25" ht="15.75" hidden="1" customHeight="1" x14ac:dyDescent="0.25">
      <c r="A39" s="82"/>
      <c r="B39" s="82"/>
      <c r="C39" s="82"/>
      <c r="D39" s="82"/>
      <c r="E39" s="82"/>
      <c r="F39" s="82"/>
      <c r="G39" s="82"/>
      <c r="H39" s="87"/>
      <c r="I39" s="87"/>
      <c r="J39" s="87"/>
    </row>
    <row r="40" spans="1:25" ht="15.75" hidden="1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25" s="80" customFormat="1" ht="15.75" customHeight="1" x14ac:dyDescent="0.25">
      <c r="A41" s="82"/>
      <c r="B41" s="82"/>
      <c r="C41" s="82"/>
      <c r="D41" s="82"/>
      <c r="E41" s="82"/>
      <c r="F41" s="82"/>
      <c r="G41" s="82"/>
      <c r="H41" s="83"/>
      <c r="I41" s="83"/>
      <c r="J41" s="83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</row>
    <row r="42" spans="1:25" s="80" customFormat="1" ht="15.75" customHeight="1" x14ac:dyDescent="0.25">
      <c r="A42" s="82"/>
      <c r="B42" s="82"/>
      <c r="C42" s="82"/>
      <c r="D42" s="82"/>
      <c r="E42" s="82"/>
      <c r="F42" s="82"/>
      <c r="G42" s="82"/>
      <c r="H42" s="83"/>
      <c r="I42" s="83"/>
      <c r="J42" s="83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</row>
    <row r="43" spans="1:25" s="80" customFormat="1" ht="15.75" customHeight="1" x14ac:dyDescent="0.25"/>
    <row r="44" spans="1:25" s="80" customFormat="1" ht="15.75" customHeight="1" x14ac:dyDescent="0.25"/>
    <row r="45" spans="1:25" ht="15.75" customHeight="1" x14ac:dyDescent="0.25"/>
    <row r="46" spans="1:25" ht="15.75" customHeight="1" x14ac:dyDescent="0.25"/>
    <row r="47" spans="1:25" ht="15.75" customHeight="1" x14ac:dyDescent="0.25"/>
    <row r="48" spans="1:25" ht="15.75" customHeight="1" x14ac:dyDescent="0.25"/>
    <row r="49" ht="15.75" customHeight="1" x14ac:dyDescent="0.25"/>
    <row r="50" ht="15.75" customHeight="1" x14ac:dyDescent="0.25"/>
  </sheetData>
  <sheetProtection autoFilter="0"/>
  <mergeCells count="8">
    <mergeCell ref="F2:G2"/>
    <mergeCell ref="B18:D18"/>
    <mergeCell ref="B20:E20"/>
    <mergeCell ref="B22:D22"/>
    <mergeCell ref="B10:D10"/>
    <mergeCell ref="B12:D12"/>
    <mergeCell ref="B14:D14"/>
    <mergeCell ref="B16:D16"/>
  </mergeCells>
  <dataValidations count="9">
    <dataValidation type="list" allowBlank="1" showInputMessage="1" showErrorMessage="1" sqref="B10:D10">
      <formula1>TipoEntrada</formula1>
    </dataValidation>
    <dataValidation type="list" allowBlank="1" showInputMessage="1" showErrorMessage="1" sqref="B18">
      <formula1>TipoSaida</formula1>
    </dataValidation>
    <dataValidation type="whole" allowBlank="1" showInputMessage="1" showErrorMessage="1" sqref="B24">
      <formula1>1</formula1>
      <formula2>31</formula2>
    </dataValidation>
    <dataValidation type="list" allowBlank="1" showInputMessage="1" showErrorMessage="1" sqref="D24">
      <formula1>Meses</formula1>
    </dataValidation>
    <dataValidation type="whole" allowBlank="1" showInputMessage="1" showErrorMessage="1" sqref="F24">
      <formula1>2015</formula1>
      <formula2>2030</formula2>
    </dataValidation>
    <dataValidation type="list" allowBlank="1" showInputMessage="1" showErrorMessage="1" sqref="B12:D12">
      <formula1>Doutores</formula1>
    </dataValidation>
    <dataValidation type="list" allowBlank="1" showInputMessage="1" showErrorMessage="1" sqref="B14:D14">
      <formula1>Pagamento</formula1>
    </dataValidation>
    <dataValidation type="list" allowBlank="1" showInputMessage="1" showErrorMessage="1" sqref="B16:D16">
      <formula1>INDIRECT(FormaPagamento)</formula1>
    </dataValidation>
    <dataValidation type="list" allowBlank="1" showInputMessage="1" showErrorMessage="1" sqref="F2:G2">
      <formula1>Anos</formula1>
    </dataValidation>
  </dataValidations>
  <pageMargins left="0.7" right="0.7" top="0.75" bottom="0.75" header="0.3" footer="0.3"/>
  <pageSetup paperSize="9" scale="4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 macro="[0]!OPCAORECEITAS">
                <anchor moveWithCells="1">
                  <from>
                    <xdr:col>0</xdr:col>
                    <xdr:colOff>238125</xdr:colOff>
                    <xdr:row>6</xdr:row>
                    <xdr:rowOff>76200</xdr:rowOff>
                  </from>
                  <to>
                    <xdr:col>2</xdr:col>
                    <xdr:colOff>133350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Option Button 15">
              <controlPr defaultSize="0" autoFill="0" autoLine="0" autoPict="0" macro="[0]!OPCAODESPESAS">
                <anchor moveWithCells="1">
                  <from>
                    <xdr:col>4</xdr:col>
                    <xdr:colOff>542925</xdr:colOff>
                    <xdr:row>6</xdr:row>
                    <xdr:rowOff>76200</xdr:rowOff>
                  </from>
                  <to>
                    <xdr:col>6</xdr:col>
                    <xdr:colOff>85725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arraRolagem">
              <controlPr defaultSize="0" autoPict="0">
                <anchor moveWithCells="1">
                  <from>
                    <xdr:col>10</xdr:col>
                    <xdr:colOff>371475</xdr:colOff>
                    <xdr:row>40</xdr:row>
                    <xdr:rowOff>95250</xdr:rowOff>
                  </from>
                  <to>
                    <xdr:col>20</xdr:col>
                    <xdr:colOff>238125</xdr:colOff>
                    <xdr:row>41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dos">
    <pageSetUpPr fitToPage="1"/>
  </sheetPr>
  <dimension ref="A1:M172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1" max="1" width="11.5703125" style="2" customWidth="1"/>
    <col min="2" max="2" width="27" bestFit="1" customWidth="1"/>
    <col min="3" max="3" width="19.7109375" bestFit="1" customWidth="1"/>
    <col min="4" max="4" width="19.140625" customWidth="1"/>
    <col min="5" max="5" width="16.5703125" customWidth="1"/>
    <col min="6" max="6" width="20.5703125" customWidth="1"/>
    <col min="7" max="7" width="28.140625" customWidth="1"/>
    <col min="8" max="8" width="15" customWidth="1"/>
    <col min="9" max="9" width="7.7109375" customWidth="1"/>
    <col min="10" max="10" width="13.7109375" style="3" customWidth="1"/>
    <col min="11" max="11" width="9.5703125" style="1" customWidth="1"/>
    <col min="12" max="12" width="17.5703125" style="94" customWidth="1"/>
    <col min="13" max="13" width="19.7109375" style="4" bestFit="1" customWidth="1"/>
  </cols>
  <sheetData>
    <row r="1" spans="1:13" s="11" customFormat="1" ht="64.5" customHeight="1" x14ac:dyDescent="0.5">
      <c r="A1" s="13"/>
      <c r="D1" s="69" t="s">
        <v>54</v>
      </c>
      <c r="E1" s="70"/>
      <c r="J1" s="14"/>
      <c r="K1" s="15"/>
      <c r="L1" s="90"/>
      <c r="M1" s="16"/>
    </row>
    <row r="2" spans="1:13" s="11" customFormat="1" ht="12.75" hidden="1" customHeight="1" x14ac:dyDescent="0.25">
      <c r="A2" s="13"/>
      <c r="D2" s="12"/>
      <c r="J2" s="14"/>
      <c r="K2" s="15"/>
      <c r="L2" s="90"/>
      <c r="M2" s="16"/>
    </row>
    <row r="3" spans="1:13" ht="30" customHeight="1" x14ac:dyDescent="0.25">
      <c r="A3" s="5" t="s">
        <v>46</v>
      </c>
      <c r="B3" s="6" t="s">
        <v>49</v>
      </c>
      <c r="C3" s="6" t="s">
        <v>47</v>
      </c>
      <c r="D3" s="6" t="s">
        <v>45</v>
      </c>
      <c r="E3" s="6" t="s">
        <v>21</v>
      </c>
      <c r="F3" s="6" t="s">
        <v>22</v>
      </c>
      <c r="G3" s="6" t="s">
        <v>23</v>
      </c>
      <c r="H3" s="6" t="s">
        <v>28</v>
      </c>
      <c r="I3" s="6" t="s">
        <v>24</v>
      </c>
      <c r="J3" s="7" t="s">
        <v>25</v>
      </c>
      <c r="K3" s="6" t="s">
        <v>26</v>
      </c>
      <c r="L3" s="91" t="s">
        <v>51</v>
      </c>
    </row>
    <row r="4" spans="1:13" x14ac:dyDescent="0.25">
      <c r="A4" s="57">
        <v>1</v>
      </c>
      <c r="B4" s="58" t="s">
        <v>44</v>
      </c>
      <c r="C4" s="59" t="s">
        <v>42</v>
      </c>
      <c r="D4" s="59" t="s">
        <v>3</v>
      </c>
      <c r="E4" s="59"/>
      <c r="F4" s="59"/>
      <c r="G4" s="59" t="s">
        <v>76</v>
      </c>
      <c r="H4" s="60">
        <v>300</v>
      </c>
      <c r="I4" s="59">
        <v>24</v>
      </c>
      <c r="J4" s="60" t="s">
        <v>38</v>
      </c>
      <c r="K4" s="59">
        <v>2015</v>
      </c>
      <c r="L4" s="92" t="s">
        <v>77</v>
      </c>
    </row>
    <row r="5" spans="1:13" x14ac:dyDescent="0.25">
      <c r="A5" s="57"/>
      <c r="B5" s="58"/>
      <c r="C5" s="59"/>
      <c r="D5" s="59"/>
      <c r="E5" s="59"/>
      <c r="F5" s="59"/>
      <c r="G5" s="59"/>
      <c r="H5" s="60"/>
      <c r="I5" s="59"/>
      <c r="J5" s="60"/>
      <c r="K5" s="59"/>
      <c r="L5" s="92"/>
    </row>
    <row r="6" spans="1:13" x14ac:dyDescent="0.25">
      <c r="A6" s="57"/>
      <c r="B6" s="58"/>
      <c r="C6" s="59"/>
      <c r="D6" s="59"/>
      <c r="E6" s="59"/>
      <c r="F6" s="59"/>
      <c r="G6" s="59"/>
      <c r="H6" s="60"/>
      <c r="I6" s="59"/>
      <c r="J6" s="60"/>
      <c r="K6" s="59"/>
      <c r="L6" s="92"/>
    </row>
    <row r="7" spans="1:13" x14ac:dyDescent="0.25">
      <c r="A7" s="57"/>
      <c r="B7" s="58"/>
      <c r="C7" s="59"/>
      <c r="D7" s="59"/>
      <c r="E7" s="59"/>
      <c r="F7" s="59"/>
      <c r="G7" s="59"/>
      <c r="H7" s="60"/>
      <c r="I7" s="59"/>
      <c r="J7" s="60"/>
      <c r="K7" s="59"/>
      <c r="L7" s="92"/>
    </row>
    <row r="8" spans="1:13" x14ac:dyDescent="0.25">
      <c r="A8" s="57"/>
      <c r="B8" s="58"/>
      <c r="C8" s="59"/>
      <c r="D8" s="59"/>
      <c r="E8" s="59"/>
      <c r="F8" s="59"/>
      <c r="G8" s="59"/>
      <c r="H8" s="60"/>
      <c r="I8" s="59"/>
      <c r="J8" s="60"/>
      <c r="K8" s="59"/>
      <c r="L8" s="92"/>
    </row>
    <row r="9" spans="1:13" x14ac:dyDescent="0.25">
      <c r="A9" s="57"/>
      <c r="B9" s="58"/>
      <c r="C9" s="59"/>
      <c r="D9" s="59"/>
      <c r="E9" s="59"/>
      <c r="F9" s="59"/>
      <c r="G9" s="59"/>
      <c r="H9" s="60"/>
      <c r="I9" s="59"/>
      <c r="J9" s="60"/>
      <c r="K9" s="59"/>
      <c r="L9" s="92"/>
    </row>
    <row r="10" spans="1:13" x14ac:dyDescent="0.25">
      <c r="A10" s="57"/>
      <c r="B10" s="58"/>
      <c r="C10" s="59"/>
      <c r="D10" s="59"/>
      <c r="E10" s="59"/>
      <c r="F10" s="59"/>
      <c r="G10" s="59"/>
      <c r="H10" s="60"/>
      <c r="I10" s="59"/>
      <c r="J10" s="60"/>
      <c r="K10" s="59"/>
      <c r="L10" s="92"/>
    </row>
    <row r="11" spans="1:13" x14ac:dyDescent="0.25">
      <c r="A11" s="57"/>
      <c r="B11" s="58"/>
      <c r="C11" s="59"/>
      <c r="D11" s="59"/>
      <c r="E11" s="59"/>
      <c r="F11" s="59"/>
      <c r="G11" s="59"/>
      <c r="H11" s="60"/>
      <c r="I11" s="59"/>
      <c r="J11" s="60"/>
      <c r="K11" s="59"/>
      <c r="L11" s="92"/>
    </row>
    <row r="12" spans="1:13" x14ac:dyDescent="0.25">
      <c r="A12" s="57"/>
      <c r="B12" s="58"/>
      <c r="C12" s="59"/>
      <c r="D12" s="59"/>
      <c r="E12" s="59"/>
      <c r="F12" s="59"/>
      <c r="G12" s="59"/>
      <c r="H12" s="60"/>
      <c r="I12" s="59"/>
      <c r="J12" s="60"/>
      <c r="K12" s="59"/>
      <c r="L12" s="92"/>
    </row>
    <row r="13" spans="1:13" x14ac:dyDescent="0.25">
      <c r="A13" s="57"/>
      <c r="B13" s="58"/>
      <c r="C13" s="59"/>
      <c r="D13" s="59"/>
      <c r="E13" s="59"/>
      <c r="F13" s="59"/>
      <c r="G13" s="59"/>
      <c r="H13" s="60"/>
      <c r="I13" s="59"/>
      <c r="J13" s="60"/>
      <c r="K13" s="59"/>
      <c r="L13" s="92"/>
    </row>
    <row r="14" spans="1:13" x14ac:dyDescent="0.25">
      <c r="A14" s="57"/>
      <c r="B14" s="58"/>
      <c r="C14" s="59"/>
      <c r="D14" s="59"/>
      <c r="E14" s="59"/>
      <c r="F14" s="59"/>
      <c r="G14" s="59"/>
      <c r="H14" s="60"/>
      <c r="I14" s="59"/>
      <c r="J14" s="60"/>
      <c r="K14" s="59"/>
      <c r="L14" s="92"/>
    </row>
    <row r="15" spans="1:13" x14ac:dyDescent="0.25">
      <c r="A15" s="57"/>
      <c r="B15" s="58"/>
      <c r="C15" s="59"/>
      <c r="D15" s="59"/>
      <c r="E15" s="59"/>
      <c r="F15" s="59"/>
      <c r="G15" s="59"/>
      <c r="H15" s="60"/>
      <c r="I15" s="59"/>
      <c r="J15" s="60"/>
      <c r="K15" s="59"/>
      <c r="L15" s="92"/>
    </row>
    <row r="16" spans="1:13" x14ac:dyDescent="0.25">
      <c r="A16" s="57"/>
      <c r="B16" s="58"/>
      <c r="C16" s="59"/>
      <c r="D16" s="59"/>
      <c r="E16" s="59"/>
      <c r="F16" s="59"/>
      <c r="G16" s="59"/>
      <c r="H16" s="60"/>
      <c r="I16" s="59"/>
      <c r="J16" s="60"/>
      <c r="K16" s="59"/>
      <c r="L16" s="92"/>
    </row>
    <row r="17" spans="1:12" x14ac:dyDescent="0.25">
      <c r="A17" s="57"/>
      <c r="B17" s="58"/>
      <c r="C17" s="59"/>
      <c r="D17" s="59"/>
      <c r="E17" s="59"/>
      <c r="F17" s="59"/>
      <c r="G17" s="59"/>
      <c r="H17" s="60"/>
      <c r="I17" s="59"/>
      <c r="J17" s="60"/>
      <c r="K17" s="59"/>
      <c r="L17" s="92"/>
    </row>
    <row r="18" spans="1:12" x14ac:dyDescent="0.25">
      <c r="A18" s="57"/>
      <c r="B18" s="58"/>
      <c r="C18" s="59"/>
      <c r="D18" s="59"/>
      <c r="E18" s="59"/>
      <c r="F18" s="59"/>
      <c r="G18" s="59"/>
      <c r="H18" s="60"/>
      <c r="I18" s="59"/>
      <c r="J18" s="60"/>
      <c r="K18" s="59"/>
      <c r="L18" s="92"/>
    </row>
    <row r="19" spans="1:12" x14ac:dyDescent="0.25">
      <c r="A19" s="57"/>
      <c r="B19" s="58"/>
      <c r="C19" s="59"/>
      <c r="D19" s="59"/>
      <c r="E19" s="59"/>
      <c r="F19" s="59"/>
      <c r="G19" s="59"/>
      <c r="H19" s="60"/>
      <c r="I19" s="59"/>
      <c r="J19" s="60"/>
      <c r="K19" s="59"/>
      <c r="L19" s="92"/>
    </row>
    <row r="20" spans="1:12" x14ac:dyDescent="0.25">
      <c r="A20" s="57"/>
      <c r="B20" s="58"/>
      <c r="C20" s="59"/>
      <c r="D20" s="59"/>
      <c r="E20" s="59"/>
      <c r="F20" s="59"/>
      <c r="G20" s="59"/>
      <c r="H20" s="60"/>
      <c r="I20" s="59"/>
      <c r="J20" s="60"/>
      <c r="K20" s="59"/>
      <c r="L20" s="92"/>
    </row>
    <row r="21" spans="1:12" x14ac:dyDescent="0.25">
      <c r="A21" s="57"/>
      <c r="B21" s="58"/>
      <c r="C21" s="59"/>
      <c r="D21" s="59"/>
      <c r="E21" s="59"/>
      <c r="F21" s="59"/>
      <c r="G21" s="59"/>
      <c r="H21" s="60"/>
      <c r="I21" s="59"/>
      <c r="J21" s="60"/>
      <c r="K21" s="59"/>
      <c r="L21" s="92"/>
    </row>
    <row r="22" spans="1:12" x14ac:dyDescent="0.25">
      <c r="A22" s="57"/>
      <c r="B22" s="58"/>
      <c r="C22" s="59"/>
      <c r="D22" s="59"/>
      <c r="E22" s="59"/>
      <c r="F22" s="59"/>
      <c r="G22" s="59"/>
      <c r="H22" s="60"/>
      <c r="I22" s="59"/>
      <c r="J22" s="60"/>
      <c r="K22" s="59"/>
      <c r="L22" s="92"/>
    </row>
    <row r="23" spans="1:12" x14ac:dyDescent="0.25">
      <c r="A23" s="57"/>
      <c r="B23" s="58"/>
      <c r="C23" s="59"/>
      <c r="D23" s="59"/>
      <c r="E23" s="59"/>
      <c r="F23" s="59"/>
      <c r="G23" s="59"/>
      <c r="H23" s="60"/>
      <c r="I23" s="59"/>
      <c r="J23" s="60"/>
      <c r="K23" s="59"/>
      <c r="L23" s="92"/>
    </row>
    <row r="24" spans="1:12" x14ac:dyDescent="0.25">
      <c r="A24" s="57"/>
      <c r="B24" s="58"/>
      <c r="C24" s="59"/>
      <c r="D24" s="59"/>
      <c r="E24" s="59"/>
      <c r="F24" s="59"/>
      <c r="G24" s="59"/>
      <c r="H24" s="60"/>
      <c r="I24" s="59"/>
      <c r="J24" s="60"/>
      <c r="K24" s="59"/>
      <c r="L24" s="92"/>
    </row>
    <row r="25" spans="1:12" x14ac:dyDescent="0.25">
      <c r="A25" s="57"/>
      <c r="B25" s="58"/>
      <c r="C25" s="59"/>
      <c r="D25" s="59"/>
      <c r="E25" s="59"/>
      <c r="F25" s="59"/>
      <c r="G25" s="59"/>
      <c r="H25" s="60"/>
      <c r="I25" s="59"/>
      <c r="J25" s="60"/>
      <c r="K25" s="59"/>
      <c r="L25" s="92"/>
    </row>
    <row r="26" spans="1:12" x14ac:dyDescent="0.25">
      <c r="A26" s="57"/>
      <c r="B26" s="58"/>
      <c r="C26" s="59"/>
      <c r="D26" s="59"/>
      <c r="E26" s="59"/>
      <c r="F26" s="59"/>
      <c r="G26" s="59"/>
      <c r="H26" s="60"/>
      <c r="I26" s="59"/>
      <c r="J26" s="60"/>
      <c r="K26" s="59"/>
      <c r="L26" s="92"/>
    </row>
    <row r="27" spans="1:12" x14ac:dyDescent="0.25">
      <c r="A27" s="57"/>
      <c r="B27" s="58"/>
      <c r="C27" s="59"/>
      <c r="D27" s="59"/>
      <c r="E27" s="59"/>
      <c r="F27" s="59"/>
      <c r="G27" s="59"/>
      <c r="H27" s="60"/>
      <c r="I27" s="59"/>
      <c r="J27" s="60"/>
      <c r="K27" s="59"/>
      <c r="L27" s="92"/>
    </row>
    <row r="28" spans="1:12" x14ac:dyDescent="0.25">
      <c r="A28" s="57"/>
      <c r="B28" s="58"/>
      <c r="C28" s="59"/>
      <c r="D28" s="59"/>
      <c r="E28" s="59"/>
      <c r="F28" s="59"/>
      <c r="G28" s="59"/>
      <c r="H28" s="60"/>
      <c r="I28" s="59"/>
      <c r="J28" s="60"/>
      <c r="K28" s="59"/>
      <c r="L28" s="92"/>
    </row>
    <row r="29" spans="1:12" x14ac:dyDescent="0.25">
      <c r="A29" s="57"/>
      <c r="B29" s="58"/>
      <c r="C29" s="59"/>
      <c r="D29" s="59"/>
      <c r="E29" s="59"/>
      <c r="F29" s="59"/>
      <c r="G29" s="59"/>
      <c r="H29" s="60"/>
      <c r="I29" s="59"/>
      <c r="J29" s="60"/>
      <c r="K29" s="59"/>
      <c r="L29" s="92"/>
    </row>
    <row r="30" spans="1:12" x14ac:dyDescent="0.25">
      <c r="A30" s="57"/>
      <c r="B30" s="58"/>
      <c r="C30" s="59"/>
      <c r="D30" s="59"/>
      <c r="E30" s="59"/>
      <c r="F30" s="59"/>
      <c r="G30" s="59"/>
      <c r="H30" s="60"/>
      <c r="I30" s="59"/>
      <c r="J30" s="60"/>
      <c r="K30" s="59"/>
      <c r="L30" s="92"/>
    </row>
    <row r="31" spans="1:12" x14ac:dyDescent="0.25">
      <c r="A31" s="57"/>
      <c r="B31" s="58"/>
      <c r="C31" s="59"/>
      <c r="D31" s="59"/>
      <c r="E31" s="59"/>
      <c r="F31" s="59"/>
      <c r="G31" s="59"/>
      <c r="H31" s="60"/>
      <c r="I31" s="59"/>
      <c r="J31" s="60"/>
      <c r="K31" s="59"/>
      <c r="L31" s="92"/>
    </row>
    <row r="32" spans="1:12" x14ac:dyDescent="0.25">
      <c r="A32" s="57"/>
      <c r="B32" s="58"/>
      <c r="C32" s="59"/>
      <c r="D32" s="59"/>
      <c r="E32" s="59"/>
      <c r="F32" s="59"/>
      <c r="G32" s="59"/>
      <c r="H32" s="60"/>
      <c r="I32" s="59"/>
      <c r="J32" s="60"/>
      <c r="K32" s="59"/>
      <c r="L32" s="92"/>
    </row>
    <row r="33" spans="1:12" x14ac:dyDescent="0.25">
      <c r="A33" s="57"/>
      <c r="B33" s="58"/>
      <c r="C33" s="59"/>
      <c r="D33" s="59"/>
      <c r="E33" s="59"/>
      <c r="F33" s="59"/>
      <c r="G33" s="59"/>
      <c r="H33" s="60"/>
      <c r="I33" s="59"/>
      <c r="J33" s="60"/>
      <c r="K33" s="59"/>
      <c r="L33" s="92"/>
    </row>
    <row r="34" spans="1:12" x14ac:dyDescent="0.25">
      <c r="A34" s="57"/>
      <c r="B34" s="58"/>
      <c r="C34" s="59"/>
      <c r="D34" s="59"/>
      <c r="E34" s="59"/>
      <c r="F34" s="59"/>
      <c r="G34" s="59"/>
      <c r="H34" s="60"/>
      <c r="I34" s="59"/>
      <c r="J34" s="60"/>
      <c r="K34" s="59"/>
      <c r="L34" s="92"/>
    </row>
    <row r="35" spans="1:12" x14ac:dyDescent="0.25">
      <c r="A35" s="57"/>
      <c r="B35" s="58"/>
      <c r="C35" s="59"/>
      <c r="D35" s="59"/>
      <c r="E35" s="59"/>
      <c r="F35" s="59"/>
      <c r="G35" s="59"/>
      <c r="H35" s="60"/>
      <c r="I35" s="59"/>
      <c r="J35" s="60"/>
      <c r="K35" s="59"/>
      <c r="L35" s="92"/>
    </row>
    <row r="36" spans="1:12" x14ac:dyDescent="0.25">
      <c r="A36" s="57"/>
      <c r="B36" s="58"/>
      <c r="C36" s="59"/>
      <c r="D36" s="59"/>
      <c r="E36" s="59"/>
      <c r="F36" s="59"/>
      <c r="G36" s="59"/>
      <c r="H36" s="60"/>
      <c r="I36" s="59"/>
      <c r="J36" s="60"/>
      <c r="K36" s="59"/>
      <c r="L36" s="92"/>
    </row>
    <row r="37" spans="1:12" x14ac:dyDescent="0.25">
      <c r="A37" s="57"/>
      <c r="B37" s="58"/>
      <c r="C37" s="59"/>
      <c r="D37" s="59"/>
      <c r="E37" s="59"/>
      <c r="F37" s="59"/>
      <c r="G37" s="59"/>
      <c r="H37" s="60"/>
      <c r="I37" s="59"/>
      <c r="J37" s="60"/>
      <c r="K37" s="59"/>
      <c r="L37" s="92"/>
    </row>
    <row r="38" spans="1:12" x14ac:dyDescent="0.25">
      <c r="A38" s="57"/>
      <c r="B38" s="58"/>
      <c r="C38" s="59"/>
      <c r="D38" s="59"/>
      <c r="E38" s="59"/>
      <c r="F38" s="59"/>
      <c r="G38" s="59"/>
      <c r="H38" s="60"/>
      <c r="I38" s="59"/>
      <c r="J38" s="60"/>
      <c r="K38" s="59"/>
      <c r="L38" s="92"/>
    </row>
    <row r="39" spans="1:12" x14ac:dyDescent="0.25">
      <c r="A39" s="57"/>
      <c r="B39" s="58"/>
      <c r="C39" s="59"/>
      <c r="D39" s="59"/>
      <c r="E39" s="59"/>
      <c r="F39" s="59"/>
      <c r="G39" s="59"/>
      <c r="H39" s="60"/>
      <c r="I39" s="59"/>
      <c r="J39" s="60"/>
      <c r="K39" s="59"/>
      <c r="L39" s="92"/>
    </row>
    <row r="40" spans="1:12" x14ac:dyDescent="0.25">
      <c r="A40" s="57"/>
      <c r="B40" s="58"/>
      <c r="C40" s="59"/>
      <c r="D40" s="59"/>
      <c r="E40" s="59"/>
      <c r="F40" s="59"/>
      <c r="G40" s="59"/>
      <c r="H40" s="60"/>
      <c r="I40" s="59"/>
      <c r="J40" s="60"/>
      <c r="K40" s="59"/>
      <c r="L40" s="92"/>
    </row>
    <row r="41" spans="1:12" x14ac:dyDescent="0.25">
      <c r="A41" s="57"/>
      <c r="B41" s="58"/>
      <c r="C41" s="59"/>
      <c r="D41" s="59"/>
      <c r="E41" s="59"/>
      <c r="F41" s="59"/>
      <c r="G41" s="59"/>
      <c r="H41" s="60"/>
      <c r="I41" s="59"/>
      <c r="J41" s="60"/>
      <c r="K41" s="59"/>
      <c r="L41" s="92"/>
    </row>
    <row r="42" spans="1:12" x14ac:dyDescent="0.25">
      <c r="A42" s="57"/>
      <c r="B42" s="58"/>
      <c r="C42" s="59"/>
      <c r="D42" s="59"/>
      <c r="E42" s="59"/>
      <c r="F42" s="59"/>
      <c r="G42" s="59"/>
      <c r="H42" s="60"/>
      <c r="I42" s="59"/>
      <c r="J42" s="60"/>
      <c r="K42" s="59"/>
      <c r="L42" s="92"/>
    </row>
    <row r="43" spans="1:12" x14ac:dyDescent="0.25">
      <c r="A43" s="57"/>
      <c r="B43" s="58"/>
      <c r="C43" s="59"/>
      <c r="D43" s="59"/>
      <c r="E43" s="59"/>
      <c r="F43" s="59"/>
      <c r="G43" s="59"/>
      <c r="H43" s="60"/>
      <c r="I43" s="59"/>
      <c r="J43" s="60"/>
      <c r="K43" s="59"/>
      <c r="L43" s="92"/>
    </row>
    <row r="44" spans="1:12" x14ac:dyDescent="0.25">
      <c r="A44" s="57"/>
      <c r="B44" s="58"/>
      <c r="C44" s="59"/>
      <c r="D44" s="59"/>
      <c r="E44" s="59"/>
      <c r="F44" s="59"/>
      <c r="G44" s="59"/>
      <c r="H44" s="60"/>
      <c r="I44" s="59"/>
      <c r="J44" s="60"/>
      <c r="K44" s="59"/>
      <c r="L44" s="92"/>
    </row>
    <row r="45" spans="1:12" x14ac:dyDescent="0.25">
      <c r="A45" s="57"/>
      <c r="B45" s="58"/>
      <c r="C45" s="59"/>
      <c r="D45" s="59"/>
      <c r="E45" s="59"/>
      <c r="F45" s="59"/>
      <c r="G45" s="59"/>
      <c r="H45" s="60"/>
      <c r="I45" s="59"/>
      <c r="J45" s="60"/>
      <c r="K45" s="59"/>
      <c r="L45" s="92"/>
    </row>
    <row r="46" spans="1:12" x14ac:dyDescent="0.25">
      <c r="A46" s="57"/>
      <c r="B46" s="58"/>
      <c r="C46" s="59"/>
      <c r="D46" s="59"/>
      <c r="E46" s="59"/>
      <c r="F46" s="59"/>
      <c r="G46" s="59"/>
      <c r="H46" s="60"/>
      <c r="I46" s="59"/>
      <c r="J46" s="60"/>
      <c r="K46" s="59"/>
      <c r="L46" s="92"/>
    </row>
    <row r="47" spans="1:12" x14ac:dyDescent="0.25">
      <c r="A47" s="57"/>
      <c r="B47" s="58"/>
      <c r="C47" s="59"/>
      <c r="D47" s="59"/>
      <c r="E47" s="59"/>
      <c r="F47" s="59"/>
      <c r="G47" s="59"/>
      <c r="H47" s="60"/>
      <c r="I47" s="59"/>
      <c r="J47" s="60"/>
      <c r="K47" s="59"/>
      <c r="L47" s="92"/>
    </row>
    <row r="48" spans="1:12" x14ac:dyDescent="0.25">
      <c r="A48" s="57"/>
      <c r="B48" s="58"/>
      <c r="C48" s="59"/>
      <c r="D48" s="59"/>
      <c r="E48" s="59"/>
      <c r="F48" s="59"/>
      <c r="G48" s="59"/>
      <c r="H48" s="60"/>
      <c r="I48" s="59"/>
      <c r="J48" s="60"/>
      <c r="K48" s="59"/>
      <c r="L48" s="92"/>
    </row>
    <row r="49" spans="1:12" x14ac:dyDescent="0.25">
      <c r="A49" s="57"/>
      <c r="B49" s="58"/>
      <c r="C49" s="59"/>
      <c r="D49" s="59"/>
      <c r="E49" s="59"/>
      <c r="F49" s="59"/>
      <c r="G49" s="59"/>
      <c r="H49" s="60"/>
      <c r="I49" s="59"/>
      <c r="J49" s="60"/>
      <c r="K49" s="59"/>
      <c r="L49" s="92"/>
    </row>
    <row r="50" spans="1:12" x14ac:dyDescent="0.25">
      <c r="A50" s="57"/>
      <c r="B50" s="58"/>
      <c r="C50" s="59"/>
      <c r="D50" s="59"/>
      <c r="E50" s="59"/>
      <c r="F50" s="59"/>
      <c r="G50" s="59"/>
      <c r="H50" s="60"/>
      <c r="I50" s="59"/>
      <c r="J50" s="60"/>
      <c r="K50" s="59"/>
      <c r="L50" s="92"/>
    </row>
    <row r="51" spans="1:12" x14ac:dyDescent="0.25">
      <c r="A51" s="57"/>
      <c r="B51" s="58"/>
      <c r="C51" s="59"/>
      <c r="D51" s="59"/>
      <c r="E51" s="59"/>
      <c r="F51" s="59"/>
      <c r="G51" s="59"/>
      <c r="H51" s="60"/>
      <c r="I51" s="59"/>
      <c r="J51" s="60"/>
      <c r="K51" s="59"/>
      <c r="L51" s="92"/>
    </row>
    <row r="52" spans="1:12" x14ac:dyDescent="0.25">
      <c r="A52" s="57"/>
      <c r="B52" s="58"/>
      <c r="C52" s="59"/>
      <c r="D52" s="59"/>
      <c r="E52" s="59"/>
      <c r="F52" s="59"/>
      <c r="G52" s="59"/>
      <c r="H52" s="60"/>
      <c r="I52" s="59"/>
      <c r="J52" s="60"/>
      <c r="K52" s="59"/>
      <c r="L52" s="92"/>
    </row>
    <row r="53" spans="1:12" x14ac:dyDescent="0.25">
      <c r="A53" s="57"/>
      <c r="B53" s="58"/>
      <c r="C53" s="59"/>
      <c r="D53" s="59"/>
      <c r="E53" s="59"/>
      <c r="F53" s="59"/>
      <c r="G53" s="59"/>
      <c r="H53" s="60"/>
      <c r="I53" s="59"/>
      <c r="J53" s="60"/>
      <c r="K53" s="59"/>
      <c r="L53" s="92"/>
    </row>
    <row r="54" spans="1:12" x14ac:dyDescent="0.25">
      <c r="A54" s="57"/>
      <c r="B54" s="58"/>
      <c r="C54" s="59"/>
      <c r="D54" s="59"/>
      <c r="E54" s="59"/>
      <c r="F54" s="59"/>
      <c r="G54" s="59"/>
      <c r="H54" s="60"/>
      <c r="I54" s="59"/>
      <c r="J54" s="60"/>
      <c r="K54" s="59"/>
      <c r="L54" s="92"/>
    </row>
    <row r="55" spans="1:12" x14ac:dyDescent="0.25">
      <c r="A55" s="57"/>
      <c r="B55" s="58"/>
      <c r="C55" s="59"/>
      <c r="D55" s="59"/>
      <c r="E55" s="59"/>
      <c r="F55" s="59"/>
      <c r="G55" s="59"/>
      <c r="H55" s="60"/>
      <c r="I55" s="59"/>
      <c r="J55" s="60"/>
      <c r="K55" s="59"/>
      <c r="L55" s="92"/>
    </row>
    <row r="56" spans="1:12" x14ac:dyDescent="0.25">
      <c r="A56" s="57"/>
      <c r="B56" s="58"/>
      <c r="C56" s="59"/>
      <c r="D56" s="59"/>
      <c r="E56" s="59"/>
      <c r="F56" s="59"/>
      <c r="G56" s="59"/>
      <c r="H56" s="60"/>
      <c r="I56" s="59"/>
      <c r="J56" s="60"/>
      <c r="K56" s="59"/>
      <c r="L56" s="92"/>
    </row>
    <row r="57" spans="1:12" x14ac:dyDescent="0.25">
      <c r="A57" s="57"/>
      <c r="B57" s="58"/>
      <c r="C57" s="59"/>
      <c r="D57" s="59"/>
      <c r="E57" s="59"/>
      <c r="F57" s="59"/>
      <c r="G57" s="59"/>
      <c r="H57" s="60"/>
      <c r="I57" s="59"/>
      <c r="J57" s="60"/>
      <c r="K57" s="59"/>
      <c r="L57" s="92"/>
    </row>
    <row r="58" spans="1:12" x14ac:dyDescent="0.25">
      <c r="A58" s="57"/>
      <c r="B58" s="58"/>
      <c r="C58" s="59"/>
      <c r="D58" s="59"/>
      <c r="E58" s="59"/>
      <c r="F58" s="59"/>
      <c r="G58" s="59"/>
      <c r="H58" s="60"/>
      <c r="I58" s="59"/>
      <c r="J58" s="60"/>
      <c r="K58" s="59"/>
      <c r="L58" s="92"/>
    </row>
    <row r="59" spans="1:12" x14ac:dyDescent="0.25">
      <c r="A59" s="57"/>
      <c r="B59" s="58"/>
      <c r="C59" s="59"/>
      <c r="D59" s="59"/>
      <c r="E59" s="59"/>
      <c r="F59" s="59"/>
      <c r="G59" s="59"/>
      <c r="H59" s="60"/>
      <c r="I59" s="59"/>
      <c r="J59" s="60"/>
      <c r="K59" s="59"/>
      <c r="L59" s="92"/>
    </row>
    <row r="60" spans="1:12" x14ac:dyDescent="0.25">
      <c r="A60" s="57"/>
      <c r="B60" s="58"/>
      <c r="C60" s="59"/>
      <c r="D60" s="59"/>
      <c r="E60" s="59"/>
      <c r="F60" s="59"/>
      <c r="G60" s="59"/>
      <c r="H60" s="60"/>
      <c r="I60" s="59"/>
      <c r="J60" s="60"/>
      <c r="K60" s="59"/>
      <c r="L60" s="92"/>
    </row>
    <row r="61" spans="1:12" x14ac:dyDescent="0.25">
      <c r="A61" s="57"/>
      <c r="B61" s="58"/>
      <c r="C61" s="59"/>
      <c r="D61" s="59"/>
      <c r="E61" s="59"/>
      <c r="F61" s="59"/>
      <c r="G61" s="59"/>
      <c r="H61" s="60"/>
      <c r="I61" s="59"/>
      <c r="J61" s="60"/>
      <c r="K61" s="59"/>
      <c r="L61" s="92"/>
    </row>
    <row r="62" spans="1:12" x14ac:dyDescent="0.25">
      <c r="A62" s="57"/>
      <c r="B62" s="58"/>
      <c r="C62" s="59"/>
      <c r="D62" s="59"/>
      <c r="E62" s="59"/>
      <c r="F62" s="59"/>
      <c r="G62" s="59"/>
      <c r="H62" s="60"/>
      <c r="I62" s="59"/>
      <c r="J62" s="60"/>
      <c r="K62" s="59"/>
      <c r="L62" s="92"/>
    </row>
    <row r="63" spans="1:12" x14ac:dyDescent="0.25">
      <c r="A63" s="57"/>
      <c r="B63" s="58"/>
      <c r="C63" s="59"/>
      <c r="D63" s="59"/>
      <c r="E63" s="59"/>
      <c r="F63" s="59"/>
      <c r="G63" s="59"/>
      <c r="H63" s="60"/>
      <c r="I63" s="59"/>
      <c r="J63" s="60"/>
      <c r="K63" s="59"/>
      <c r="L63" s="92"/>
    </row>
    <row r="64" spans="1:12" x14ac:dyDescent="0.25">
      <c r="A64" s="57"/>
      <c r="B64" s="58"/>
      <c r="C64" s="59"/>
      <c r="D64" s="59"/>
      <c r="E64" s="59"/>
      <c r="F64" s="59"/>
      <c r="G64" s="59"/>
      <c r="H64" s="60"/>
      <c r="I64" s="59"/>
      <c r="J64" s="60"/>
      <c r="K64" s="59"/>
      <c r="L64" s="92"/>
    </row>
    <row r="65" spans="1:12" x14ac:dyDescent="0.25">
      <c r="A65" s="57"/>
      <c r="B65" s="58"/>
      <c r="C65" s="59"/>
      <c r="D65" s="59"/>
      <c r="E65" s="59"/>
      <c r="F65" s="59"/>
      <c r="G65" s="59"/>
      <c r="H65" s="60"/>
      <c r="I65" s="59"/>
      <c r="J65" s="60"/>
      <c r="K65" s="59"/>
      <c r="L65" s="92"/>
    </row>
    <row r="66" spans="1:12" x14ac:dyDescent="0.25">
      <c r="A66" s="57"/>
      <c r="B66" s="58"/>
      <c r="C66" s="59"/>
      <c r="D66" s="59"/>
      <c r="E66" s="59"/>
      <c r="F66" s="59"/>
      <c r="G66" s="59"/>
      <c r="H66" s="60"/>
      <c r="I66" s="59"/>
      <c r="J66" s="60"/>
      <c r="K66" s="59"/>
      <c r="L66" s="92"/>
    </row>
    <row r="67" spans="1:12" x14ac:dyDescent="0.25">
      <c r="A67" s="57"/>
      <c r="B67" s="58"/>
      <c r="C67" s="59"/>
      <c r="D67" s="59"/>
      <c r="E67" s="59"/>
      <c r="F67" s="59"/>
      <c r="G67" s="59"/>
      <c r="H67" s="60"/>
      <c r="I67" s="59"/>
      <c r="J67" s="60"/>
      <c r="K67" s="59"/>
      <c r="L67" s="92"/>
    </row>
    <row r="68" spans="1:12" x14ac:dyDescent="0.25">
      <c r="A68" s="57"/>
      <c r="B68" s="58"/>
      <c r="C68" s="59"/>
      <c r="D68" s="59"/>
      <c r="E68" s="59"/>
      <c r="F68" s="59"/>
      <c r="G68" s="59"/>
      <c r="H68" s="60"/>
      <c r="I68" s="59"/>
      <c r="J68" s="60"/>
      <c r="K68" s="59"/>
      <c r="L68" s="92"/>
    </row>
    <row r="69" spans="1:12" x14ac:dyDescent="0.25">
      <c r="A69" s="57"/>
      <c r="B69" s="58"/>
      <c r="C69" s="59"/>
      <c r="D69" s="59"/>
      <c r="E69" s="59"/>
      <c r="F69" s="59"/>
      <c r="G69" s="59"/>
      <c r="H69" s="60"/>
      <c r="I69" s="59"/>
      <c r="J69" s="60"/>
      <c r="K69" s="59"/>
      <c r="L69" s="92"/>
    </row>
    <row r="70" spans="1:12" x14ac:dyDescent="0.25">
      <c r="A70" s="57"/>
      <c r="B70" s="58"/>
      <c r="C70" s="59"/>
      <c r="D70" s="59"/>
      <c r="E70" s="59"/>
      <c r="F70" s="59"/>
      <c r="G70" s="59"/>
      <c r="H70" s="60"/>
      <c r="I70" s="59"/>
      <c r="J70" s="60"/>
      <c r="K70" s="59"/>
      <c r="L70" s="92"/>
    </row>
    <row r="71" spans="1:12" x14ac:dyDescent="0.25">
      <c r="A71" s="57"/>
      <c r="B71" s="58"/>
      <c r="C71" s="59"/>
      <c r="D71" s="59"/>
      <c r="E71" s="59"/>
      <c r="F71" s="59"/>
      <c r="G71" s="59"/>
      <c r="H71" s="60"/>
      <c r="I71" s="59"/>
      <c r="J71" s="60"/>
      <c r="K71" s="59"/>
      <c r="L71" s="92"/>
    </row>
    <row r="72" spans="1:12" x14ac:dyDescent="0.25">
      <c r="A72" s="57"/>
      <c r="B72" s="58"/>
      <c r="C72" s="59"/>
      <c r="D72" s="59"/>
      <c r="E72" s="59"/>
      <c r="F72" s="59"/>
      <c r="G72" s="59"/>
      <c r="H72" s="60"/>
      <c r="I72" s="59"/>
      <c r="J72" s="60"/>
      <c r="K72" s="59"/>
      <c r="L72" s="92"/>
    </row>
    <row r="73" spans="1:12" x14ac:dyDescent="0.25">
      <c r="A73" s="57"/>
      <c r="B73" s="58"/>
      <c r="C73" s="59"/>
      <c r="D73" s="59"/>
      <c r="E73" s="59"/>
      <c r="F73" s="59"/>
      <c r="G73" s="59"/>
      <c r="H73" s="60"/>
      <c r="I73" s="59"/>
      <c r="J73" s="60"/>
      <c r="K73" s="59"/>
      <c r="L73" s="92"/>
    </row>
    <row r="74" spans="1:12" x14ac:dyDescent="0.25">
      <c r="A74" s="57"/>
      <c r="B74" s="58"/>
      <c r="C74" s="59"/>
      <c r="D74" s="59"/>
      <c r="E74" s="59"/>
      <c r="F74" s="59"/>
      <c r="G74" s="59"/>
      <c r="H74" s="60"/>
      <c r="I74" s="59"/>
      <c r="J74" s="60"/>
      <c r="K74" s="59"/>
      <c r="L74" s="92"/>
    </row>
    <row r="75" spans="1:12" x14ac:dyDescent="0.25">
      <c r="A75" s="57"/>
      <c r="B75" s="58"/>
      <c r="C75" s="59"/>
      <c r="D75" s="59"/>
      <c r="E75" s="59"/>
      <c r="F75" s="59"/>
      <c r="G75" s="59"/>
      <c r="H75" s="60"/>
      <c r="I75" s="59"/>
      <c r="J75" s="60"/>
      <c r="K75" s="59"/>
      <c r="L75" s="92"/>
    </row>
    <row r="76" spans="1:12" x14ac:dyDescent="0.25">
      <c r="A76" s="57"/>
      <c r="B76" s="58"/>
      <c r="C76" s="59"/>
      <c r="D76" s="59"/>
      <c r="E76" s="59"/>
      <c r="F76" s="59"/>
      <c r="G76" s="59"/>
      <c r="H76" s="60"/>
      <c r="I76" s="59"/>
      <c r="J76" s="60"/>
      <c r="K76" s="59"/>
      <c r="L76" s="92"/>
    </row>
    <row r="77" spans="1:12" x14ac:dyDescent="0.25">
      <c r="A77" s="57"/>
      <c r="B77" s="58"/>
      <c r="C77" s="59"/>
      <c r="D77" s="59"/>
      <c r="E77" s="59"/>
      <c r="F77" s="59"/>
      <c r="G77" s="59"/>
      <c r="H77" s="60"/>
      <c r="I77" s="59"/>
      <c r="J77" s="60"/>
      <c r="K77" s="59"/>
      <c r="L77" s="92"/>
    </row>
    <row r="78" spans="1:12" x14ac:dyDescent="0.25">
      <c r="A78" s="57"/>
      <c r="B78" s="58"/>
      <c r="C78" s="59"/>
      <c r="D78" s="59"/>
      <c r="E78" s="59"/>
      <c r="F78" s="59"/>
      <c r="G78" s="59"/>
      <c r="H78" s="60"/>
      <c r="I78" s="59"/>
      <c r="J78" s="60"/>
      <c r="K78" s="59"/>
      <c r="L78" s="92"/>
    </row>
    <row r="79" spans="1:12" x14ac:dyDescent="0.25">
      <c r="A79" s="57"/>
      <c r="B79" s="58"/>
      <c r="C79" s="59"/>
      <c r="D79" s="59"/>
      <c r="E79" s="59"/>
      <c r="F79" s="59"/>
      <c r="G79" s="59"/>
      <c r="H79" s="60"/>
      <c r="I79" s="59"/>
      <c r="J79" s="60"/>
      <c r="K79" s="59"/>
      <c r="L79" s="92"/>
    </row>
    <row r="80" spans="1:12" x14ac:dyDescent="0.25">
      <c r="A80" s="57"/>
      <c r="B80" s="58"/>
      <c r="C80" s="59"/>
      <c r="D80" s="59"/>
      <c r="E80" s="59"/>
      <c r="F80" s="59"/>
      <c r="G80" s="59"/>
      <c r="H80" s="60"/>
      <c r="I80" s="59"/>
      <c r="J80" s="60"/>
      <c r="K80" s="59"/>
      <c r="L80" s="92"/>
    </row>
    <row r="81" spans="1:12" x14ac:dyDescent="0.25">
      <c r="A81" s="57"/>
      <c r="B81" s="58"/>
      <c r="C81" s="59"/>
      <c r="D81" s="59"/>
      <c r="E81" s="59"/>
      <c r="F81" s="59"/>
      <c r="G81" s="59"/>
      <c r="H81" s="60"/>
      <c r="I81" s="59"/>
      <c r="J81" s="60"/>
      <c r="K81" s="59"/>
      <c r="L81" s="92"/>
    </row>
    <row r="82" spans="1:12" x14ac:dyDescent="0.25">
      <c r="A82" s="57"/>
      <c r="B82" s="58"/>
      <c r="C82" s="59"/>
      <c r="D82" s="59"/>
      <c r="E82" s="59"/>
      <c r="F82" s="59"/>
      <c r="G82" s="59"/>
      <c r="H82" s="60"/>
      <c r="I82" s="59"/>
      <c r="J82" s="60"/>
      <c r="K82" s="59"/>
      <c r="L82" s="92"/>
    </row>
    <row r="83" spans="1:12" x14ac:dyDescent="0.25">
      <c r="A83" s="57"/>
      <c r="B83" s="58"/>
      <c r="C83" s="59"/>
      <c r="D83" s="59"/>
      <c r="E83" s="59"/>
      <c r="F83" s="59"/>
      <c r="G83" s="59"/>
      <c r="H83" s="60"/>
      <c r="I83" s="59"/>
      <c r="J83" s="60"/>
      <c r="K83" s="59"/>
      <c r="L83" s="92"/>
    </row>
    <row r="84" spans="1:12" x14ac:dyDescent="0.25">
      <c r="A84" s="57"/>
      <c r="B84" s="58"/>
      <c r="C84" s="59"/>
      <c r="D84" s="59"/>
      <c r="E84" s="59"/>
      <c r="F84" s="59"/>
      <c r="G84" s="59"/>
      <c r="H84" s="60"/>
      <c r="I84" s="59"/>
      <c r="J84" s="60"/>
      <c r="K84" s="59"/>
      <c r="L84" s="92"/>
    </row>
    <row r="85" spans="1:12" x14ac:dyDescent="0.25">
      <c r="A85" s="57"/>
      <c r="B85" s="58"/>
      <c r="C85" s="59"/>
      <c r="D85" s="59"/>
      <c r="E85" s="59"/>
      <c r="F85" s="59"/>
      <c r="G85" s="59"/>
      <c r="H85" s="60"/>
      <c r="I85" s="59"/>
      <c r="J85" s="60"/>
      <c r="K85" s="59"/>
      <c r="L85" s="92"/>
    </row>
    <row r="86" spans="1:12" x14ac:dyDescent="0.25">
      <c r="A86" s="57"/>
      <c r="B86" s="58"/>
      <c r="C86" s="59"/>
      <c r="D86" s="59"/>
      <c r="E86" s="59"/>
      <c r="F86" s="59"/>
      <c r="G86" s="59"/>
      <c r="H86" s="60"/>
      <c r="I86" s="59"/>
      <c r="J86" s="60"/>
      <c r="K86" s="59"/>
      <c r="L86" s="92"/>
    </row>
    <row r="87" spans="1:12" x14ac:dyDescent="0.25">
      <c r="A87" s="57"/>
      <c r="B87" s="58"/>
      <c r="C87" s="59"/>
      <c r="D87" s="59"/>
      <c r="E87" s="59"/>
      <c r="F87" s="59"/>
      <c r="G87" s="59"/>
      <c r="H87" s="60"/>
      <c r="I87" s="59"/>
      <c r="J87" s="60"/>
      <c r="K87" s="59"/>
      <c r="L87" s="92"/>
    </row>
    <row r="88" spans="1:12" x14ac:dyDescent="0.25">
      <c r="A88" s="57"/>
      <c r="B88" s="58"/>
      <c r="C88" s="59"/>
      <c r="D88" s="59"/>
      <c r="E88" s="59"/>
      <c r="F88" s="59"/>
      <c r="G88" s="59"/>
      <c r="H88" s="60"/>
      <c r="I88" s="59"/>
      <c r="J88" s="60"/>
      <c r="K88" s="59"/>
      <c r="L88" s="92"/>
    </row>
    <row r="89" spans="1:12" x14ac:dyDescent="0.25">
      <c r="A89" s="57"/>
      <c r="B89" s="58"/>
      <c r="C89" s="59"/>
      <c r="D89" s="59"/>
      <c r="E89" s="59"/>
      <c r="F89" s="59"/>
      <c r="G89" s="59"/>
      <c r="H89" s="60"/>
      <c r="I89" s="59"/>
      <c r="J89" s="60"/>
      <c r="K89" s="59"/>
      <c r="L89" s="92"/>
    </row>
    <row r="90" spans="1:12" x14ac:dyDescent="0.25">
      <c r="A90" s="57"/>
      <c r="B90" s="58"/>
      <c r="C90" s="59"/>
      <c r="D90" s="59"/>
      <c r="E90" s="59"/>
      <c r="F90" s="59"/>
      <c r="G90" s="59"/>
      <c r="H90" s="60"/>
      <c r="I90" s="59"/>
      <c r="J90" s="60"/>
      <c r="K90" s="59"/>
      <c r="L90" s="92"/>
    </row>
    <row r="91" spans="1:12" x14ac:dyDescent="0.25">
      <c r="A91" s="57"/>
      <c r="B91" s="58"/>
      <c r="C91" s="59"/>
      <c r="D91" s="59"/>
      <c r="E91" s="59"/>
      <c r="F91" s="59"/>
      <c r="G91" s="59"/>
      <c r="H91" s="60"/>
      <c r="I91" s="59"/>
      <c r="J91" s="60"/>
      <c r="K91" s="59"/>
      <c r="L91" s="92"/>
    </row>
    <row r="92" spans="1:12" x14ac:dyDescent="0.25">
      <c r="A92" s="57"/>
      <c r="B92" s="58"/>
      <c r="C92" s="59"/>
      <c r="D92" s="59"/>
      <c r="E92" s="59"/>
      <c r="F92" s="59"/>
      <c r="G92" s="59"/>
      <c r="H92" s="60"/>
      <c r="I92" s="59"/>
      <c r="J92" s="60"/>
      <c r="K92" s="59"/>
      <c r="L92" s="92"/>
    </row>
    <row r="93" spans="1:12" x14ac:dyDescent="0.25">
      <c r="A93" s="57"/>
      <c r="B93" s="58"/>
      <c r="C93" s="59"/>
      <c r="D93" s="59"/>
      <c r="E93" s="59"/>
      <c r="F93" s="59"/>
      <c r="G93" s="59"/>
      <c r="H93" s="60"/>
      <c r="I93" s="59"/>
      <c r="J93" s="60"/>
      <c r="K93" s="59"/>
      <c r="L93" s="92"/>
    </row>
    <row r="94" spans="1:12" x14ac:dyDescent="0.25">
      <c r="A94" s="57"/>
      <c r="B94" s="58"/>
      <c r="C94" s="59"/>
      <c r="D94" s="59"/>
      <c r="E94" s="59"/>
      <c r="F94" s="59"/>
      <c r="G94" s="59"/>
      <c r="H94" s="60"/>
      <c r="I94" s="59"/>
      <c r="J94" s="60"/>
      <c r="K94" s="59"/>
      <c r="L94" s="92"/>
    </row>
    <row r="95" spans="1:12" x14ac:dyDescent="0.25">
      <c r="A95" s="57"/>
      <c r="B95" s="58"/>
      <c r="C95" s="59"/>
      <c r="D95" s="59"/>
      <c r="E95" s="59"/>
      <c r="F95" s="59"/>
      <c r="G95" s="59"/>
      <c r="H95" s="60"/>
      <c r="I95" s="59"/>
      <c r="J95" s="60"/>
      <c r="K95" s="59"/>
      <c r="L95" s="92"/>
    </row>
    <row r="96" spans="1:12" x14ac:dyDescent="0.25">
      <c r="A96" s="57"/>
      <c r="B96" s="58"/>
      <c r="C96" s="59"/>
      <c r="D96" s="59"/>
      <c r="E96" s="59"/>
      <c r="F96" s="59"/>
      <c r="G96" s="59"/>
      <c r="H96" s="60"/>
      <c r="I96" s="59"/>
      <c r="J96" s="60"/>
      <c r="K96" s="59"/>
      <c r="L96" s="92"/>
    </row>
    <row r="97" spans="1:12" x14ac:dyDescent="0.25">
      <c r="A97" s="57"/>
      <c r="B97" s="58"/>
      <c r="C97" s="59"/>
      <c r="D97" s="59"/>
      <c r="E97" s="59"/>
      <c r="F97" s="59"/>
      <c r="G97" s="59"/>
      <c r="H97" s="60"/>
      <c r="I97" s="59"/>
      <c r="J97" s="60"/>
      <c r="K97" s="59"/>
      <c r="L97" s="92"/>
    </row>
    <row r="98" spans="1:12" x14ac:dyDescent="0.25">
      <c r="A98" s="57"/>
      <c r="B98" s="58"/>
      <c r="C98" s="59"/>
      <c r="D98" s="59"/>
      <c r="E98" s="59"/>
      <c r="F98" s="59"/>
      <c r="G98" s="59"/>
      <c r="H98" s="60"/>
      <c r="I98" s="59"/>
      <c r="J98" s="60"/>
      <c r="K98" s="59"/>
      <c r="L98" s="92"/>
    </row>
    <row r="99" spans="1:12" x14ac:dyDescent="0.25">
      <c r="A99" s="57"/>
      <c r="B99" s="58"/>
      <c r="C99" s="59"/>
      <c r="D99" s="59"/>
      <c r="E99" s="59"/>
      <c r="F99" s="59"/>
      <c r="G99" s="59"/>
      <c r="H99" s="60"/>
      <c r="I99" s="59"/>
      <c r="J99" s="60"/>
      <c r="K99" s="59"/>
      <c r="L99" s="92"/>
    </row>
    <row r="100" spans="1:12" x14ac:dyDescent="0.25">
      <c r="A100" s="57"/>
      <c r="B100" s="58"/>
      <c r="C100" s="59"/>
      <c r="D100" s="59"/>
      <c r="E100" s="59"/>
      <c r="F100" s="59"/>
      <c r="G100" s="59"/>
      <c r="H100" s="60"/>
      <c r="I100" s="59"/>
      <c r="J100" s="60"/>
      <c r="K100" s="59"/>
      <c r="L100" s="92"/>
    </row>
    <row r="101" spans="1:12" x14ac:dyDescent="0.25">
      <c r="A101" s="57"/>
      <c r="B101" s="58"/>
      <c r="C101" s="59"/>
      <c r="D101" s="59"/>
      <c r="E101" s="59"/>
      <c r="F101" s="59"/>
      <c r="G101" s="59"/>
      <c r="H101" s="60"/>
      <c r="I101" s="59"/>
      <c r="J101" s="60"/>
      <c r="K101" s="59"/>
      <c r="L101" s="92"/>
    </row>
    <row r="102" spans="1:12" x14ac:dyDescent="0.25">
      <c r="A102" s="57"/>
      <c r="B102" s="58"/>
      <c r="C102" s="59"/>
      <c r="D102" s="59"/>
      <c r="E102" s="59"/>
      <c r="F102" s="59"/>
      <c r="G102" s="59"/>
      <c r="H102" s="60"/>
      <c r="I102" s="59"/>
      <c r="J102" s="60"/>
      <c r="K102" s="59"/>
      <c r="L102" s="92"/>
    </row>
    <row r="103" spans="1:12" x14ac:dyDescent="0.25">
      <c r="A103" s="57"/>
      <c r="B103" s="58"/>
      <c r="C103" s="59"/>
      <c r="D103" s="59"/>
      <c r="E103" s="59"/>
      <c r="F103" s="59"/>
      <c r="G103" s="59"/>
      <c r="H103" s="60"/>
      <c r="I103" s="59"/>
      <c r="J103" s="60"/>
      <c r="K103" s="59"/>
      <c r="L103" s="92"/>
    </row>
    <row r="104" spans="1:12" x14ac:dyDescent="0.25">
      <c r="A104" s="57"/>
      <c r="B104" s="58"/>
      <c r="C104" s="59"/>
      <c r="D104" s="59"/>
      <c r="E104" s="59"/>
      <c r="F104" s="59"/>
      <c r="G104" s="59"/>
      <c r="H104" s="60"/>
      <c r="I104" s="59"/>
      <c r="J104" s="60"/>
      <c r="K104" s="59"/>
      <c r="L104" s="92"/>
    </row>
    <row r="105" spans="1:12" x14ac:dyDescent="0.25">
      <c r="A105" s="57"/>
      <c r="B105" s="58"/>
      <c r="C105" s="59"/>
      <c r="D105" s="59"/>
      <c r="E105" s="59"/>
      <c r="F105" s="59"/>
      <c r="G105" s="59"/>
      <c r="H105" s="60"/>
      <c r="I105" s="59"/>
      <c r="J105" s="60"/>
      <c r="K105" s="59"/>
      <c r="L105" s="92"/>
    </row>
    <row r="106" spans="1:12" x14ac:dyDescent="0.25">
      <c r="A106" s="57"/>
      <c r="B106" s="58"/>
      <c r="C106" s="59"/>
      <c r="D106" s="59"/>
      <c r="E106" s="59"/>
      <c r="F106" s="59"/>
      <c r="G106" s="59"/>
      <c r="H106" s="60"/>
      <c r="I106" s="59"/>
      <c r="J106" s="60"/>
      <c r="K106" s="59"/>
      <c r="L106" s="92"/>
    </row>
    <row r="107" spans="1:12" x14ac:dyDescent="0.25">
      <c r="A107" s="57"/>
      <c r="B107" s="58"/>
      <c r="C107" s="59"/>
      <c r="D107" s="59"/>
      <c r="E107" s="59"/>
      <c r="F107" s="59"/>
      <c r="G107" s="59"/>
      <c r="H107" s="60"/>
      <c r="I107" s="59"/>
      <c r="J107" s="60"/>
      <c r="K107" s="59"/>
      <c r="L107" s="92"/>
    </row>
    <row r="108" spans="1:12" x14ac:dyDescent="0.25">
      <c r="A108" s="57"/>
      <c r="B108" s="58"/>
      <c r="C108" s="59"/>
      <c r="D108" s="59"/>
      <c r="E108" s="59"/>
      <c r="F108" s="59"/>
      <c r="G108" s="59"/>
      <c r="H108" s="60"/>
      <c r="I108" s="59"/>
      <c r="J108" s="60"/>
      <c r="K108" s="59"/>
      <c r="L108" s="92"/>
    </row>
    <row r="109" spans="1:12" x14ac:dyDescent="0.25">
      <c r="A109" s="57"/>
      <c r="B109" s="58"/>
      <c r="C109" s="59"/>
      <c r="D109" s="59"/>
      <c r="E109" s="59"/>
      <c r="F109" s="59"/>
      <c r="G109" s="59"/>
      <c r="H109" s="60"/>
      <c r="I109" s="59"/>
      <c r="J109" s="60"/>
      <c r="K109" s="59"/>
      <c r="L109" s="92"/>
    </row>
    <row r="110" spans="1:12" x14ac:dyDescent="0.25">
      <c r="A110" s="57"/>
      <c r="B110" s="58"/>
      <c r="C110" s="59"/>
      <c r="D110" s="59"/>
      <c r="E110" s="59"/>
      <c r="F110" s="59"/>
      <c r="G110" s="59"/>
      <c r="H110" s="60"/>
      <c r="I110" s="59"/>
      <c r="J110" s="60"/>
      <c r="K110" s="59"/>
      <c r="L110" s="92"/>
    </row>
    <row r="111" spans="1:12" x14ac:dyDescent="0.25">
      <c r="A111" s="57"/>
      <c r="B111" s="58"/>
      <c r="C111" s="59"/>
      <c r="D111" s="59"/>
      <c r="E111" s="59"/>
      <c r="F111" s="59"/>
      <c r="G111" s="59"/>
      <c r="H111" s="60"/>
      <c r="I111" s="59"/>
      <c r="J111" s="60"/>
      <c r="K111" s="59"/>
      <c r="L111" s="92"/>
    </row>
    <row r="112" spans="1:12" x14ac:dyDescent="0.25">
      <c r="A112" s="57"/>
      <c r="B112" s="58"/>
      <c r="C112" s="59"/>
      <c r="D112" s="59"/>
      <c r="E112" s="59"/>
      <c r="F112" s="59"/>
      <c r="G112" s="59"/>
      <c r="H112" s="60"/>
      <c r="I112" s="59"/>
      <c r="J112" s="60"/>
      <c r="K112" s="59"/>
      <c r="L112" s="92"/>
    </row>
    <row r="113" spans="1:12" x14ac:dyDescent="0.25">
      <c r="A113" s="57"/>
      <c r="B113" s="58"/>
      <c r="C113" s="59"/>
      <c r="D113" s="59"/>
      <c r="E113" s="59"/>
      <c r="F113" s="59"/>
      <c r="G113" s="59"/>
      <c r="H113" s="60"/>
      <c r="I113" s="59"/>
      <c r="J113" s="60"/>
      <c r="K113" s="59"/>
      <c r="L113" s="92"/>
    </row>
    <row r="114" spans="1:12" x14ac:dyDescent="0.25">
      <c r="A114" s="57"/>
      <c r="B114" s="58"/>
      <c r="C114" s="59"/>
      <c r="D114" s="59"/>
      <c r="E114" s="59"/>
      <c r="F114" s="59"/>
      <c r="G114" s="59"/>
      <c r="H114" s="60"/>
      <c r="I114" s="59"/>
      <c r="J114" s="60"/>
      <c r="K114" s="59"/>
      <c r="L114" s="92"/>
    </row>
    <row r="115" spans="1:12" x14ac:dyDescent="0.25">
      <c r="A115" s="57"/>
      <c r="B115" s="58"/>
      <c r="C115" s="59"/>
      <c r="D115" s="59"/>
      <c r="E115" s="59"/>
      <c r="F115" s="59"/>
      <c r="G115" s="59"/>
      <c r="H115" s="60"/>
      <c r="I115" s="59"/>
      <c r="J115" s="60"/>
      <c r="K115" s="59"/>
      <c r="L115" s="92"/>
    </row>
    <row r="116" spans="1:12" x14ac:dyDescent="0.25">
      <c r="A116" s="57"/>
      <c r="B116" s="58"/>
      <c r="C116" s="59"/>
      <c r="D116" s="59"/>
      <c r="E116" s="59"/>
      <c r="F116" s="59"/>
      <c r="G116" s="59"/>
      <c r="H116" s="60"/>
      <c r="I116" s="59"/>
      <c r="J116" s="60"/>
      <c r="K116" s="59"/>
      <c r="L116" s="92"/>
    </row>
    <row r="117" spans="1:12" x14ac:dyDescent="0.25">
      <c r="A117" s="57"/>
      <c r="B117" s="58"/>
      <c r="C117" s="59"/>
      <c r="D117" s="59"/>
      <c r="E117" s="59"/>
      <c r="F117" s="59"/>
      <c r="G117" s="59"/>
      <c r="H117" s="60"/>
      <c r="I117" s="59"/>
      <c r="J117" s="60"/>
      <c r="K117" s="59"/>
      <c r="L117" s="92"/>
    </row>
    <row r="118" spans="1:12" x14ac:dyDescent="0.25">
      <c r="A118" s="57"/>
      <c r="B118" s="58"/>
      <c r="C118" s="59"/>
      <c r="D118" s="59"/>
      <c r="E118" s="59"/>
      <c r="F118" s="59"/>
      <c r="G118" s="59"/>
      <c r="H118" s="60"/>
      <c r="I118" s="59"/>
      <c r="J118" s="60"/>
      <c r="K118" s="59"/>
      <c r="L118" s="92"/>
    </row>
    <row r="119" spans="1:12" x14ac:dyDescent="0.25">
      <c r="A119" s="57"/>
      <c r="B119" s="58"/>
      <c r="C119" s="59"/>
      <c r="D119" s="59"/>
      <c r="E119" s="59"/>
      <c r="F119" s="59"/>
      <c r="G119" s="59"/>
      <c r="H119" s="60"/>
      <c r="I119" s="59"/>
      <c r="J119" s="60"/>
      <c r="K119" s="59"/>
      <c r="L119" s="92"/>
    </row>
    <row r="120" spans="1:12" x14ac:dyDescent="0.25">
      <c r="A120" s="57"/>
      <c r="B120" s="58"/>
      <c r="C120" s="59"/>
      <c r="D120" s="59"/>
      <c r="E120" s="59"/>
      <c r="F120" s="59"/>
      <c r="G120" s="59"/>
      <c r="H120" s="60"/>
      <c r="I120" s="59"/>
      <c r="J120" s="60"/>
      <c r="K120" s="59"/>
      <c r="L120" s="92"/>
    </row>
    <row r="121" spans="1:12" x14ac:dyDescent="0.25">
      <c r="A121" s="57"/>
      <c r="B121" s="58"/>
      <c r="C121" s="59"/>
      <c r="D121" s="59"/>
      <c r="E121" s="59"/>
      <c r="F121" s="59"/>
      <c r="G121" s="59"/>
      <c r="H121" s="60"/>
      <c r="I121" s="59"/>
      <c r="J121" s="60"/>
      <c r="K121" s="59"/>
      <c r="L121" s="92"/>
    </row>
    <row r="122" spans="1:12" x14ac:dyDescent="0.25">
      <c r="A122" s="57"/>
      <c r="B122" s="58"/>
      <c r="C122" s="59"/>
      <c r="D122" s="59"/>
      <c r="E122" s="59"/>
      <c r="F122" s="59"/>
      <c r="G122" s="59"/>
      <c r="H122" s="60"/>
      <c r="I122" s="59"/>
      <c r="J122" s="60"/>
      <c r="K122" s="59"/>
      <c r="L122" s="92"/>
    </row>
    <row r="123" spans="1:12" x14ac:dyDescent="0.25">
      <c r="A123" s="57"/>
      <c r="B123" s="58"/>
      <c r="C123" s="59"/>
      <c r="D123" s="59"/>
      <c r="E123" s="59"/>
      <c r="F123" s="59"/>
      <c r="G123" s="59"/>
      <c r="H123" s="60"/>
      <c r="I123" s="59"/>
      <c r="J123" s="60"/>
      <c r="K123" s="59"/>
      <c r="L123" s="92"/>
    </row>
    <row r="124" spans="1:12" x14ac:dyDescent="0.25">
      <c r="A124" s="57"/>
      <c r="B124" s="58"/>
      <c r="C124" s="59"/>
      <c r="D124" s="59"/>
      <c r="E124" s="59"/>
      <c r="F124" s="59"/>
      <c r="G124" s="59"/>
      <c r="H124" s="60"/>
      <c r="I124" s="59"/>
      <c r="J124" s="60"/>
      <c r="K124" s="59"/>
      <c r="L124" s="92"/>
    </row>
    <row r="125" spans="1:12" x14ac:dyDescent="0.25">
      <c r="A125" s="57"/>
      <c r="B125" s="58"/>
      <c r="C125" s="59"/>
      <c r="D125" s="59"/>
      <c r="E125" s="59"/>
      <c r="F125" s="59"/>
      <c r="G125" s="59"/>
      <c r="H125" s="60"/>
      <c r="I125" s="59"/>
      <c r="J125" s="60"/>
      <c r="K125" s="59"/>
      <c r="L125" s="92"/>
    </row>
    <row r="126" spans="1:12" x14ac:dyDescent="0.25">
      <c r="A126" s="57"/>
      <c r="B126" s="58"/>
      <c r="C126" s="59"/>
      <c r="D126" s="59"/>
      <c r="E126" s="59"/>
      <c r="F126" s="59"/>
      <c r="G126" s="59"/>
      <c r="H126" s="60"/>
      <c r="I126" s="59"/>
      <c r="J126" s="60"/>
      <c r="K126" s="59"/>
      <c r="L126" s="92"/>
    </row>
    <row r="127" spans="1:12" x14ac:dyDescent="0.25">
      <c r="A127" s="57"/>
      <c r="B127" s="58"/>
      <c r="C127" s="59"/>
      <c r="D127" s="59"/>
      <c r="E127" s="59"/>
      <c r="F127" s="59"/>
      <c r="G127" s="59"/>
      <c r="H127" s="60"/>
      <c r="I127" s="59"/>
      <c r="J127" s="60"/>
      <c r="K127" s="59"/>
      <c r="L127" s="92"/>
    </row>
    <row r="128" spans="1:12" x14ac:dyDescent="0.25">
      <c r="A128" s="57"/>
      <c r="B128" s="58"/>
      <c r="C128" s="59"/>
      <c r="D128" s="59"/>
      <c r="E128" s="59"/>
      <c r="F128" s="59"/>
      <c r="G128" s="59"/>
      <c r="H128" s="60"/>
      <c r="I128" s="59"/>
      <c r="J128" s="60"/>
      <c r="K128" s="59"/>
      <c r="L128" s="92"/>
    </row>
    <row r="129" spans="1:12" x14ac:dyDescent="0.25">
      <c r="A129" s="57"/>
      <c r="B129" s="58"/>
      <c r="C129" s="59"/>
      <c r="D129" s="59"/>
      <c r="E129" s="59"/>
      <c r="F129" s="59"/>
      <c r="G129" s="59"/>
      <c r="H129" s="60"/>
      <c r="I129" s="59"/>
      <c r="J129" s="60"/>
      <c r="K129" s="59"/>
      <c r="L129" s="92"/>
    </row>
    <row r="130" spans="1:12" x14ac:dyDescent="0.25">
      <c r="A130" s="57"/>
      <c r="B130" s="58"/>
      <c r="C130" s="59"/>
      <c r="D130" s="59"/>
      <c r="E130" s="59"/>
      <c r="F130" s="59"/>
      <c r="G130" s="59"/>
      <c r="H130" s="60"/>
      <c r="I130" s="59"/>
      <c r="J130" s="60"/>
      <c r="K130" s="59"/>
      <c r="L130" s="92"/>
    </row>
    <row r="131" spans="1:12" x14ac:dyDescent="0.25">
      <c r="A131" s="57"/>
      <c r="B131" s="58"/>
      <c r="C131" s="59"/>
      <c r="D131" s="59"/>
      <c r="E131" s="59"/>
      <c r="F131" s="59"/>
      <c r="G131" s="59"/>
      <c r="H131" s="60"/>
      <c r="I131" s="59"/>
      <c r="J131" s="60"/>
      <c r="K131" s="59"/>
      <c r="L131" s="92"/>
    </row>
    <row r="132" spans="1:12" x14ac:dyDescent="0.25">
      <c r="A132" s="57"/>
      <c r="B132" s="58"/>
      <c r="C132" s="59"/>
      <c r="D132" s="59"/>
      <c r="E132" s="59"/>
      <c r="F132" s="59"/>
      <c r="G132" s="59"/>
      <c r="H132" s="60"/>
      <c r="I132" s="59"/>
      <c r="J132" s="60"/>
      <c r="K132" s="59"/>
      <c r="L132" s="92"/>
    </row>
    <row r="133" spans="1:12" x14ac:dyDescent="0.25">
      <c r="A133" s="57"/>
      <c r="B133" s="58"/>
      <c r="C133" s="59"/>
      <c r="D133" s="59"/>
      <c r="E133" s="59"/>
      <c r="F133" s="59"/>
      <c r="G133" s="59"/>
      <c r="H133" s="60"/>
      <c r="I133" s="59"/>
      <c r="J133" s="60"/>
      <c r="K133" s="59"/>
      <c r="L133" s="92"/>
    </row>
    <row r="134" spans="1:12" x14ac:dyDescent="0.25">
      <c r="A134" s="57"/>
      <c r="B134" s="58"/>
      <c r="C134" s="59"/>
      <c r="D134" s="59"/>
      <c r="E134" s="59"/>
      <c r="F134" s="59"/>
      <c r="G134" s="59"/>
      <c r="H134" s="60"/>
      <c r="I134" s="59"/>
      <c r="J134" s="60"/>
      <c r="K134" s="59"/>
      <c r="L134" s="92"/>
    </row>
    <row r="135" spans="1:12" x14ac:dyDescent="0.25">
      <c r="A135" s="57"/>
      <c r="B135" s="58"/>
      <c r="C135" s="59"/>
      <c r="D135" s="59"/>
      <c r="E135" s="59"/>
      <c r="F135" s="59"/>
      <c r="G135" s="59"/>
      <c r="H135" s="60"/>
      <c r="I135" s="59"/>
      <c r="J135" s="60"/>
      <c r="K135" s="59"/>
      <c r="L135" s="92"/>
    </row>
    <row r="136" spans="1:12" x14ac:dyDescent="0.25">
      <c r="A136" s="57"/>
      <c r="B136" s="58"/>
      <c r="C136" s="59"/>
      <c r="D136" s="59"/>
      <c r="E136" s="59"/>
      <c r="F136" s="59"/>
      <c r="G136" s="59"/>
      <c r="H136" s="60"/>
      <c r="I136" s="59"/>
      <c r="J136" s="60"/>
      <c r="K136" s="59"/>
      <c r="L136" s="92"/>
    </row>
    <row r="137" spans="1:12" x14ac:dyDescent="0.25">
      <c r="A137" s="57"/>
      <c r="B137" s="58"/>
      <c r="C137" s="59"/>
      <c r="D137" s="59"/>
      <c r="E137" s="59"/>
      <c r="F137" s="59"/>
      <c r="G137" s="59"/>
      <c r="H137" s="60"/>
      <c r="I137" s="59"/>
      <c r="J137" s="60"/>
      <c r="K137" s="59"/>
      <c r="L137" s="92"/>
    </row>
    <row r="138" spans="1:12" x14ac:dyDescent="0.25">
      <c r="A138" s="57"/>
      <c r="B138" s="58"/>
      <c r="C138" s="59"/>
      <c r="D138" s="59"/>
      <c r="E138" s="59"/>
      <c r="F138" s="59"/>
      <c r="G138" s="59"/>
      <c r="H138" s="60"/>
      <c r="I138" s="59"/>
      <c r="J138" s="60"/>
      <c r="K138" s="59"/>
      <c r="L138" s="92"/>
    </row>
    <row r="139" spans="1:12" x14ac:dyDescent="0.25">
      <c r="A139" s="57"/>
      <c r="B139" s="58"/>
      <c r="C139" s="59"/>
      <c r="D139" s="59"/>
      <c r="E139" s="59"/>
      <c r="F139" s="59"/>
      <c r="G139" s="59"/>
      <c r="H139" s="60"/>
      <c r="I139" s="59"/>
      <c r="J139" s="60"/>
      <c r="K139" s="59"/>
      <c r="L139" s="92"/>
    </row>
    <row r="140" spans="1:12" x14ac:dyDescent="0.25">
      <c r="A140" s="57"/>
      <c r="B140" s="58"/>
      <c r="C140" s="59"/>
      <c r="D140" s="59"/>
      <c r="E140" s="59"/>
      <c r="F140" s="59"/>
      <c r="G140" s="59"/>
      <c r="H140" s="60"/>
      <c r="I140" s="59"/>
      <c r="J140" s="60"/>
      <c r="K140" s="59"/>
      <c r="L140" s="92"/>
    </row>
    <row r="141" spans="1:12" x14ac:dyDescent="0.25">
      <c r="A141" s="57"/>
      <c r="B141" s="58"/>
      <c r="C141" s="59"/>
      <c r="D141" s="59"/>
      <c r="E141" s="59"/>
      <c r="F141" s="59"/>
      <c r="G141" s="59"/>
      <c r="H141" s="60"/>
      <c r="I141" s="59"/>
      <c r="J141" s="60"/>
      <c r="K141" s="59"/>
      <c r="L141" s="92"/>
    </row>
    <row r="142" spans="1:12" x14ac:dyDescent="0.25">
      <c r="A142" s="57"/>
      <c r="B142" s="58"/>
      <c r="C142" s="59"/>
      <c r="D142" s="59"/>
      <c r="E142" s="59"/>
      <c r="F142" s="59"/>
      <c r="G142" s="59"/>
      <c r="H142" s="60"/>
      <c r="I142" s="59"/>
      <c r="J142" s="60"/>
      <c r="K142" s="59"/>
      <c r="L142" s="92"/>
    </row>
    <row r="143" spans="1:12" x14ac:dyDescent="0.25">
      <c r="A143" s="57"/>
      <c r="B143" s="58"/>
      <c r="C143" s="59"/>
      <c r="D143" s="59"/>
      <c r="E143" s="59"/>
      <c r="F143" s="59"/>
      <c r="G143" s="59"/>
      <c r="H143" s="60"/>
      <c r="I143" s="59"/>
      <c r="J143" s="60"/>
      <c r="K143" s="59"/>
      <c r="L143" s="92"/>
    </row>
    <row r="144" spans="1:12" x14ac:dyDescent="0.25">
      <c r="A144" s="57"/>
      <c r="B144" s="58"/>
      <c r="C144" s="59"/>
      <c r="D144" s="59"/>
      <c r="E144" s="59"/>
      <c r="F144" s="59"/>
      <c r="G144" s="59"/>
      <c r="H144" s="60"/>
      <c r="I144" s="59"/>
      <c r="J144" s="60"/>
      <c r="K144" s="59"/>
      <c r="L144" s="92"/>
    </row>
    <row r="145" spans="1:12" x14ac:dyDescent="0.25">
      <c r="A145" s="57"/>
      <c r="B145" s="58"/>
      <c r="C145" s="59"/>
      <c r="D145" s="59"/>
      <c r="E145" s="59"/>
      <c r="F145" s="59"/>
      <c r="G145" s="59"/>
      <c r="H145" s="60"/>
      <c r="I145" s="59"/>
      <c r="J145" s="60"/>
      <c r="K145" s="59"/>
      <c r="L145" s="92"/>
    </row>
    <row r="146" spans="1:12" x14ac:dyDescent="0.25">
      <c r="A146" s="57"/>
      <c r="B146" s="58"/>
      <c r="C146" s="59"/>
      <c r="D146" s="59"/>
      <c r="E146" s="59"/>
      <c r="F146" s="59"/>
      <c r="G146" s="59"/>
      <c r="H146" s="60"/>
      <c r="I146" s="59"/>
      <c r="J146" s="60"/>
      <c r="K146" s="59"/>
      <c r="L146" s="92"/>
    </row>
    <row r="147" spans="1:12" x14ac:dyDescent="0.25">
      <c r="A147" s="57"/>
      <c r="B147" s="58"/>
      <c r="C147" s="59"/>
      <c r="D147" s="59"/>
      <c r="E147" s="59"/>
      <c r="F147" s="59"/>
      <c r="G147" s="59"/>
      <c r="H147" s="60"/>
      <c r="I147" s="59"/>
      <c r="J147" s="60"/>
      <c r="K147" s="59"/>
      <c r="L147" s="92"/>
    </row>
    <row r="148" spans="1:12" x14ac:dyDescent="0.25">
      <c r="A148" s="57"/>
      <c r="B148" s="58"/>
      <c r="C148" s="59"/>
      <c r="D148" s="59"/>
      <c r="E148" s="59"/>
      <c r="F148" s="59"/>
      <c r="G148" s="59"/>
      <c r="H148" s="60"/>
      <c r="I148" s="59"/>
      <c r="J148" s="60"/>
      <c r="K148" s="59"/>
      <c r="L148" s="92"/>
    </row>
    <row r="149" spans="1:12" x14ac:dyDescent="0.25">
      <c r="A149" s="57"/>
      <c r="B149" s="58"/>
      <c r="C149" s="59"/>
      <c r="D149" s="59"/>
      <c r="E149" s="59"/>
      <c r="F149" s="59"/>
      <c r="G149" s="59"/>
      <c r="H149" s="60"/>
      <c r="I149" s="59"/>
      <c r="J149" s="60"/>
      <c r="K149" s="59"/>
      <c r="L149" s="92"/>
    </row>
    <row r="150" spans="1:12" x14ac:dyDescent="0.25">
      <c r="A150" s="57"/>
      <c r="B150" s="58"/>
      <c r="C150" s="59"/>
      <c r="D150" s="59"/>
      <c r="E150" s="59"/>
      <c r="F150" s="59"/>
      <c r="G150" s="59"/>
      <c r="H150" s="60"/>
      <c r="I150" s="59"/>
      <c r="J150" s="60"/>
      <c r="K150" s="59"/>
      <c r="L150" s="92"/>
    </row>
    <row r="151" spans="1:12" x14ac:dyDescent="0.25">
      <c r="A151" s="57"/>
      <c r="B151" s="58"/>
      <c r="C151" s="59"/>
      <c r="D151" s="59"/>
      <c r="E151" s="59"/>
      <c r="F151" s="59"/>
      <c r="G151" s="59"/>
      <c r="H151" s="60"/>
      <c r="I151" s="59"/>
      <c r="J151" s="60"/>
      <c r="K151" s="59"/>
      <c r="L151" s="92"/>
    </row>
    <row r="152" spans="1:12" x14ac:dyDescent="0.25">
      <c r="A152" s="57"/>
      <c r="B152" s="58"/>
      <c r="C152" s="59"/>
      <c r="D152" s="59"/>
      <c r="E152" s="59"/>
      <c r="F152" s="59"/>
      <c r="G152" s="59"/>
      <c r="H152" s="60"/>
      <c r="I152" s="59"/>
      <c r="J152" s="60"/>
      <c r="K152" s="59"/>
      <c r="L152" s="92"/>
    </row>
    <row r="153" spans="1:12" x14ac:dyDescent="0.25">
      <c r="A153" s="57"/>
      <c r="B153" s="58"/>
      <c r="C153" s="59"/>
      <c r="D153" s="59"/>
      <c r="E153" s="59"/>
      <c r="F153" s="59"/>
      <c r="G153" s="59"/>
      <c r="H153" s="60"/>
      <c r="I153" s="59"/>
      <c r="J153" s="60"/>
      <c r="K153" s="59"/>
      <c r="L153" s="92"/>
    </row>
    <row r="154" spans="1:12" x14ac:dyDescent="0.25">
      <c r="A154" s="57"/>
      <c r="B154" s="58"/>
      <c r="C154" s="59"/>
      <c r="D154" s="59"/>
      <c r="E154" s="59"/>
      <c r="F154" s="59"/>
      <c r="G154" s="59"/>
      <c r="H154" s="60"/>
      <c r="I154" s="59"/>
      <c r="J154" s="60"/>
      <c r="K154" s="59"/>
      <c r="L154" s="92"/>
    </row>
    <row r="155" spans="1:12" x14ac:dyDescent="0.25">
      <c r="A155" s="57"/>
      <c r="B155" s="58"/>
      <c r="C155" s="59"/>
      <c r="D155" s="59"/>
      <c r="E155" s="59"/>
      <c r="F155" s="59"/>
      <c r="G155" s="59"/>
      <c r="H155" s="60"/>
      <c r="I155" s="59"/>
      <c r="J155" s="60"/>
      <c r="K155" s="59"/>
      <c r="L155" s="92"/>
    </row>
    <row r="156" spans="1:12" x14ac:dyDescent="0.25">
      <c r="A156" s="57"/>
      <c r="B156" s="58"/>
      <c r="C156" s="59"/>
      <c r="D156" s="59"/>
      <c r="E156" s="59"/>
      <c r="F156" s="59"/>
      <c r="G156" s="59"/>
      <c r="H156" s="60"/>
      <c r="I156" s="59"/>
      <c r="J156" s="60"/>
      <c r="K156" s="59"/>
      <c r="L156" s="92"/>
    </row>
    <row r="157" spans="1:12" x14ac:dyDescent="0.25">
      <c r="A157" s="57"/>
      <c r="B157" s="58"/>
      <c r="C157" s="59"/>
      <c r="D157" s="59"/>
      <c r="E157" s="59"/>
      <c r="F157" s="59"/>
      <c r="G157" s="59"/>
      <c r="H157" s="60"/>
      <c r="I157" s="59"/>
      <c r="J157" s="60"/>
      <c r="K157" s="59"/>
      <c r="L157" s="92"/>
    </row>
    <row r="158" spans="1:12" x14ac:dyDescent="0.25">
      <c r="A158" s="57"/>
      <c r="B158" s="58"/>
      <c r="C158" s="59"/>
      <c r="D158" s="59"/>
      <c r="E158" s="59"/>
      <c r="F158" s="59"/>
      <c r="G158" s="59"/>
      <c r="H158" s="60"/>
      <c r="I158" s="59"/>
      <c r="J158" s="60"/>
      <c r="K158" s="59"/>
      <c r="L158" s="92"/>
    </row>
    <row r="159" spans="1:12" x14ac:dyDescent="0.25">
      <c r="A159" s="57"/>
      <c r="B159" s="58"/>
      <c r="C159" s="59"/>
      <c r="D159" s="59"/>
      <c r="E159" s="59"/>
      <c r="F159" s="59"/>
      <c r="G159" s="59"/>
      <c r="H159" s="60"/>
      <c r="I159" s="59"/>
      <c r="J159" s="60"/>
      <c r="K159" s="59"/>
      <c r="L159" s="92"/>
    </row>
    <row r="160" spans="1:12" x14ac:dyDescent="0.25">
      <c r="A160" s="57"/>
      <c r="B160" s="58"/>
      <c r="C160" s="59"/>
      <c r="D160" s="59"/>
      <c r="E160" s="59"/>
      <c r="F160" s="59"/>
      <c r="G160" s="59"/>
      <c r="H160" s="60"/>
      <c r="I160" s="59"/>
      <c r="J160" s="60"/>
      <c r="K160" s="59"/>
      <c r="L160" s="92"/>
    </row>
    <row r="161" spans="1:12" x14ac:dyDescent="0.25">
      <c r="A161" s="57"/>
      <c r="B161" s="58"/>
      <c r="C161" s="59"/>
      <c r="D161" s="59"/>
      <c r="E161" s="59"/>
      <c r="F161" s="59"/>
      <c r="G161" s="59"/>
      <c r="H161" s="60"/>
      <c r="I161" s="59"/>
      <c r="J161" s="60"/>
      <c r="K161" s="59"/>
      <c r="L161" s="92"/>
    </row>
    <row r="162" spans="1:12" x14ac:dyDescent="0.25">
      <c r="A162" s="57"/>
      <c r="B162" s="58"/>
      <c r="C162" s="59"/>
      <c r="D162" s="59"/>
      <c r="E162" s="59"/>
      <c r="F162" s="59"/>
      <c r="G162" s="59"/>
      <c r="H162" s="60"/>
      <c r="I162" s="59"/>
      <c r="J162" s="60"/>
      <c r="K162" s="59"/>
      <c r="L162" s="92"/>
    </row>
    <row r="163" spans="1:12" x14ac:dyDescent="0.25">
      <c r="A163" s="57"/>
      <c r="B163" s="58"/>
      <c r="C163" s="59"/>
      <c r="D163" s="59"/>
      <c r="E163" s="59"/>
      <c r="F163" s="59"/>
      <c r="G163" s="59"/>
      <c r="H163" s="60"/>
      <c r="I163" s="59"/>
      <c r="J163" s="60"/>
      <c r="K163" s="59"/>
      <c r="L163" s="92"/>
    </row>
    <row r="164" spans="1:12" x14ac:dyDescent="0.25">
      <c r="A164" s="57"/>
      <c r="B164" s="58"/>
      <c r="C164" s="59"/>
      <c r="D164" s="59"/>
      <c r="E164" s="59"/>
      <c r="F164" s="59"/>
      <c r="G164" s="59"/>
      <c r="H164" s="60"/>
      <c r="I164" s="59"/>
      <c r="J164" s="60"/>
      <c r="K164" s="59"/>
      <c r="L164" s="92"/>
    </row>
    <row r="165" spans="1:12" x14ac:dyDescent="0.25">
      <c r="A165" s="57"/>
      <c r="B165" s="58"/>
      <c r="C165" s="59"/>
      <c r="D165" s="59"/>
      <c r="E165" s="59"/>
      <c r="F165" s="59"/>
      <c r="G165" s="59"/>
      <c r="H165" s="60"/>
      <c r="I165" s="59"/>
      <c r="J165" s="60"/>
      <c r="K165" s="59"/>
      <c r="L165" s="92"/>
    </row>
    <row r="166" spans="1:12" x14ac:dyDescent="0.25">
      <c r="A166" s="57"/>
      <c r="B166" s="58"/>
      <c r="C166" s="59"/>
      <c r="D166" s="59"/>
      <c r="E166" s="59"/>
      <c r="F166" s="59"/>
      <c r="G166" s="59"/>
      <c r="H166" s="60"/>
      <c r="I166" s="59"/>
      <c r="J166" s="60"/>
      <c r="K166" s="59"/>
      <c r="L166" s="92"/>
    </row>
    <row r="167" spans="1:12" x14ac:dyDescent="0.25">
      <c r="A167" s="57"/>
      <c r="B167" s="58"/>
      <c r="C167" s="59"/>
      <c r="D167" s="59"/>
      <c r="E167" s="59"/>
      <c r="F167" s="59"/>
      <c r="G167" s="59"/>
      <c r="H167" s="60"/>
      <c r="I167" s="59"/>
      <c r="J167" s="60"/>
      <c r="K167" s="59"/>
      <c r="L167" s="92"/>
    </row>
    <row r="168" spans="1:12" x14ac:dyDescent="0.25">
      <c r="A168" s="57"/>
      <c r="B168" s="58"/>
      <c r="C168" s="59"/>
      <c r="D168" s="59"/>
      <c r="E168" s="59"/>
      <c r="F168" s="59"/>
      <c r="G168" s="59"/>
      <c r="H168" s="60"/>
      <c r="I168" s="59"/>
      <c r="J168" s="60"/>
      <c r="K168" s="59"/>
      <c r="L168" s="92"/>
    </row>
    <row r="169" spans="1:12" x14ac:dyDescent="0.25">
      <c r="A169" s="57"/>
      <c r="B169" s="58"/>
      <c r="C169" s="59"/>
      <c r="D169" s="59"/>
      <c r="E169" s="59"/>
      <c r="F169" s="59"/>
      <c r="G169" s="59"/>
      <c r="H169" s="60"/>
      <c r="I169" s="59"/>
      <c r="J169" s="60"/>
      <c r="K169" s="59"/>
      <c r="L169" s="92"/>
    </row>
    <row r="170" spans="1:12" x14ac:dyDescent="0.25">
      <c r="A170" s="64"/>
      <c r="B170" s="65"/>
      <c r="C170" s="66"/>
      <c r="D170" s="66"/>
      <c r="E170" s="66"/>
      <c r="F170" s="66"/>
      <c r="G170" s="66"/>
      <c r="H170" s="67"/>
      <c r="I170" s="66"/>
      <c r="J170" s="67"/>
      <c r="K170" s="66"/>
      <c r="L170" s="93"/>
    </row>
    <row r="171" spans="1:12" x14ac:dyDescent="0.25">
      <c r="A171" s="57"/>
      <c r="B171" s="58"/>
      <c r="C171" s="59"/>
      <c r="D171" s="59"/>
      <c r="E171" s="59"/>
      <c r="F171" s="59"/>
      <c r="G171" s="59"/>
      <c r="H171" s="60"/>
      <c r="I171" s="59"/>
      <c r="J171" s="60"/>
      <c r="K171" s="59"/>
      <c r="L171" s="92"/>
    </row>
    <row r="172" spans="1:12" x14ac:dyDescent="0.25">
      <c r="A172" s="57"/>
      <c r="B172" s="58"/>
      <c r="C172" s="59"/>
      <c r="D172" s="59"/>
      <c r="E172" s="59"/>
      <c r="F172" s="59"/>
      <c r="G172" s="59"/>
      <c r="H172" s="60"/>
      <c r="I172" s="59"/>
      <c r="J172" s="60"/>
      <c r="K172" s="59"/>
      <c r="L172" s="92"/>
    </row>
  </sheetData>
  <pageMargins left="0.7" right="0.7" top="0.75" bottom="0.75" header="0.3" footer="0.3"/>
  <pageSetup paperSize="9" scale="2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raficos">
    <pageSetUpPr fitToPage="1"/>
  </sheetPr>
  <dimension ref="A1:O47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5" x14ac:dyDescent="0.25"/>
  <cols>
    <col min="2" max="2" width="22.140625" bestFit="1" customWidth="1"/>
    <col min="3" max="3" width="13.140625" bestFit="1" customWidth="1"/>
    <col min="4" max="4" width="14.42578125" customWidth="1"/>
    <col min="5" max="7" width="11.28515625" customWidth="1"/>
    <col min="8" max="9" width="12.42578125" bestFit="1" customWidth="1"/>
    <col min="10" max="10" width="13.140625" bestFit="1" customWidth="1"/>
    <col min="11" max="11" width="12.7109375" customWidth="1"/>
    <col min="12" max="12" width="12.140625" customWidth="1"/>
    <col min="13" max="13" width="13.85546875" customWidth="1"/>
    <col min="14" max="14" width="13" customWidth="1"/>
    <col min="15" max="15" width="16.5703125" customWidth="1"/>
  </cols>
  <sheetData>
    <row r="1" spans="1:15" s="11" customFormat="1" ht="64.5" customHeight="1" x14ac:dyDescent="0.25">
      <c r="D1" s="69" t="s">
        <v>53</v>
      </c>
    </row>
    <row r="2" spans="1:15" ht="30" customHeight="1" x14ac:dyDescent="0.25"/>
    <row r="4" spans="1:15" x14ac:dyDescent="0.25">
      <c r="B4" t="s">
        <v>2</v>
      </c>
      <c r="C4" s="1" t="s">
        <v>29</v>
      </c>
      <c r="D4" s="1" t="s">
        <v>27</v>
      </c>
      <c r="E4" s="1" t="s">
        <v>30</v>
      </c>
      <c r="F4" s="1" t="s">
        <v>31</v>
      </c>
      <c r="G4" s="1" t="s">
        <v>32</v>
      </c>
      <c r="H4" s="1" t="s">
        <v>33</v>
      </c>
      <c r="I4" s="1" t="s">
        <v>34</v>
      </c>
      <c r="J4" s="1" t="s">
        <v>35</v>
      </c>
      <c r="K4" s="1" t="s">
        <v>36</v>
      </c>
      <c r="L4" s="1" t="s">
        <v>37</v>
      </c>
      <c r="M4" s="1" t="s">
        <v>38</v>
      </c>
      <c r="N4" s="1" t="s">
        <v>39</v>
      </c>
      <c r="O4" s="1" t="s">
        <v>52</v>
      </c>
    </row>
    <row r="5" spans="1:15" x14ac:dyDescent="0.25">
      <c r="B5" t="s">
        <v>44</v>
      </c>
      <c r="C5" s="8">
        <f>SUMIFS(tblDados[VALOR],tblDados[RECEITA],tblReceita[[#This Row],[TIPO ENTRADA]],tblDados[MÊS],tblReceita[[#Headers],[JANEIRO]],tblDados[ANO],AnoFluxo)</f>
        <v>0</v>
      </c>
      <c r="D5" s="8">
        <f>SUMIFS(tblDados[VALOR],tblDados[RECEITA],tblReceita[[#This Row],[TIPO ENTRADA]],tblDados[MÊS],tblReceita[[#Headers],[FEVEREIRO]],tblDados[ANO],AnoFluxo)</f>
        <v>0</v>
      </c>
      <c r="E5" s="8">
        <f>SUMIFS(tblDados[VALOR],tblDados[RECEITA],tblReceita[[#This Row],[TIPO ENTRADA]],tblDados[MÊS],tblReceita[[#Headers],[MARÇO]],tblDados[ANO],AnoFluxo)</f>
        <v>0</v>
      </c>
      <c r="F5" s="8">
        <f>SUMIFS(tblDados[VALOR],tblDados[RECEITA],tblReceita[[#This Row],[TIPO ENTRADA]],tblDados[MÊS],tblReceita[[#Headers],[ABRIL]],tblDados[ANO],AnoFluxo)</f>
        <v>0</v>
      </c>
      <c r="G5" s="8">
        <f>SUMIFS(tblDados[VALOR],tblDados[RECEITA],tblReceita[[#This Row],[TIPO ENTRADA]],tblDados[MÊS],tblReceita[[#Headers],[MAIO]],tblDados[ANO],AnoFluxo)</f>
        <v>0</v>
      </c>
      <c r="H5" s="8">
        <f>SUMIFS(tblDados[VALOR],tblDados[RECEITA],tblReceita[[#This Row],[TIPO ENTRADA]],tblDados[MÊS],tblReceita[[#Headers],[JUNHO]],tblDados[ANO],AnoFluxo)</f>
        <v>0</v>
      </c>
      <c r="I5" s="8">
        <f>SUMIFS(tblDados[VALOR],tblDados[RECEITA],tblReceita[[#This Row],[TIPO ENTRADA]],tblDados[MÊS],tblReceita[[#Headers],[JULHO]],tblDados[ANO],AnoFluxo)</f>
        <v>0</v>
      </c>
      <c r="J5" s="8">
        <f>SUMIFS(tblDados[VALOR],tblDados[RECEITA],tblReceita[[#This Row],[TIPO ENTRADA]],tblDados[MÊS],tblReceita[[#Headers],[AGOSTO]],tblDados[ANO],AnoFluxo)</f>
        <v>0</v>
      </c>
      <c r="K5" s="8">
        <f>SUMIFS(tblDados[VALOR],tblDados[RECEITA],tblReceita[[#This Row],[TIPO ENTRADA]],tblDados[MÊS],tblReceita[[#Headers],[SETEMBRO]],tblDados[ANO],AnoFluxo)</f>
        <v>0</v>
      </c>
      <c r="L5" s="8">
        <f>SUMIFS(tblDados[VALOR],tblDados[RECEITA],tblReceita[[#This Row],[TIPO ENTRADA]],tblDados[MÊS],tblReceita[[#Headers],[OUTUBRO]],tblDados[ANO],AnoFluxo)</f>
        <v>0</v>
      </c>
      <c r="M5" s="8">
        <f>SUMIFS(tblDados[VALOR],tblDados[RECEITA],tblReceita[[#This Row],[TIPO ENTRADA]],tblDados[MÊS],tblReceita[[#Headers],[NOVEMBRO]],tblDados[ANO],AnoFluxo)</f>
        <v>300</v>
      </c>
      <c r="N5" s="8">
        <f>SUMIFS(tblDados[VALOR],tblDados[RECEITA],tblReceita[[#This Row],[TIPO ENTRADA]],tblDados[MÊS],tblReceita[[#Headers],[DEZEMBRO]],tblDados[ANO],AnoFluxo)</f>
        <v>0</v>
      </c>
      <c r="O5" s="9">
        <f>SUM(tblReceita[[#This Row],[JANEIRO]:[DEZEMBRO]])</f>
        <v>300</v>
      </c>
    </row>
    <row r="6" spans="1:15" x14ac:dyDescent="0.25">
      <c r="B6" t="s">
        <v>1</v>
      </c>
      <c r="C6" s="8">
        <f>SUMIFS(tblDados[VALOR],tblDados[RECEITA],tblReceita[[#This Row],[TIPO ENTRADA]],tblDados[MÊS],tblReceita[[#Headers],[JANEIRO]],tblDados[ANO],AnoFluxo)</f>
        <v>0</v>
      </c>
      <c r="D6" s="8">
        <f>SUMIFS(tblDados[VALOR],tblDados[RECEITA],tblReceita[[#This Row],[TIPO ENTRADA]],tblDados[MÊS],tblReceita[[#Headers],[FEVEREIRO]],tblDados[ANO],AnoFluxo)</f>
        <v>0</v>
      </c>
      <c r="E6" s="8">
        <f>SUMIFS(tblDados[VALOR],tblDados[RECEITA],tblReceita[[#This Row],[TIPO ENTRADA]],tblDados[MÊS],tblReceita[[#Headers],[MARÇO]],tblDados[ANO],AnoFluxo)</f>
        <v>0</v>
      </c>
      <c r="F6" s="8">
        <f>SUMIFS(tblDados[VALOR],tblDados[RECEITA],tblReceita[[#This Row],[TIPO ENTRADA]],tblDados[MÊS],tblReceita[[#Headers],[ABRIL]],tblDados[ANO],AnoFluxo)</f>
        <v>0</v>
      </c>
      <c r="G6" s="8">
        <f>SUMIFS(tblDados[VALOR],tblDados[RECEITA],tblReceita[[#This Row],[TIPO ENTRADA]],tblDados[MÊS],tblReceita[[#Headers],[MAIO]],tblDados[ANO],AnoFluxo)</f>
        <v>0</v>
      </c>
      <c r="H6" s="8">
        <f>SUMIFS(tblDados[VALOR],tblDados[RECEITA],tblReceita[[#This Row],[TIPO ENTRADA]],tblDados[MÊS],tblReceita[[#Headers],[JUNHO]],tblDados[ANO],AnoFluxo)</f>
        <v>0</v>
      </c>
      <c r="I6" s="8">
        <f>SUMIFS(tblDados[VALOR],tblDados[RECEITA],tblReceita[[#This Row],[TIPO ENTRADA]],tblDados[MÊS],tblReceita[[#Headers],[JULHO]],tblDados[ANO],AnoFluxo)</f>
        <v>0</v>
      </c>
      <c r="J6" s="8">
        <f>SUMIFS(tblDados[VALOR],tblDados[RECEITA],tblReceita[[#This Row],[TIPO ENTRADA]],tblDados[MÊS],tblReceita[[#Headers],[AGOSTO]],tblDados[ANO],AnoFluxo)</f>
        <v>0</v>
      </c>
      <c r="K6" s="8">
        <f>SUMIFS(tblDados[VALOR],tblDados[RECEITA],tblReceita[[#This Row],[TIPO ENTRADA]],tblDados[MÊS],tblReceita[[#Headers],[SETEMBRO]],tblDados[ANO],AnoFluxo)</f>
        <v>0</v>
      </c>
      <c r="L6" s="8">
        <f>SUMIFS(tblDados[VALOR],tblDados[RECEITA],tblReceita[[#This Row],[TIPO ENTRADA]],tblDados[MÊS],tblReceita[[#Headers],[OUTUBRO]],tblDados[ANO],AnoFluxo)</f>
        <v>0</v>
      </c>
      <c r="M6" s="8">
        <f>SUMIFS(tblDados[VALOR],tblDados[RECEITA],tblReceita[[#This Row],[TIPO ENTRADA]],tblDados[MÊS],tblReceita[[#Headers],[NOVEMBRO]],tblDados[ANO],AnoFluxo)</f>
        <v>0</v>
      </c>
      <c r="N6" s="8">
        <f>SUMIFS(tblDados[VALOR],tblDados[RECEITA],tblReceita[[#This Row],[TIPO ENTRADA]],tblDados[MÊS],tblReceita[[#Headers],[DEZEMBRO]],tblDados[ANO],AnoFluxo)</f>
        <v>0</v>
      </c>
      <c r="O6" s="9">
        <f>SUM(tblReceita[[#This Row],[JANEIRO]:[DEZEMBRO]])</f>
        <v>0</v>
      </c>
    </row>
    <row r="7" spans="1:15" x14ac:dyDescent="0.25">
      <c r="B7" t="s">
        <v>50</v>
      </c>
      <c r="C7" s="8">
        <f>SUMIFS(tblDados[VALOR],tblDados[RECEITA],tblReceita[[#This Row],[TIPO ENTRADA]],tblDados[MÊS],tblReceita[[#Headers],[JANEIRO]],tblDados[ANO],AnoFluxo)</f>
        <v>0</v>
      </c>
      <c r="D7" s="8">
        <f>SUMIFS(tblDados[VALOR],tblDados[RECEITA],tblReceita[[#This Row],[TIPO ENTRADA]],tblDados[MÊS],tblReceita[[#Headers],[FEVEREIRO]],tblDados[ANO],AnoFluxo)</f>
        <v>0</v>
      </c>
      <c r="E7" s="8">
        <f>SUMIFS(tblDados[VALOR],tblDados[RECEITA],tblReceita[[#This Row],[TIPO ENTRADA]],tblDados[MÊS],tblReceita[[#Headers],[MARÇO]],tblDados[ANO],AnoFluxo)</f>
        <v>0</v>
      </c>
      <c r="F7" s="8">
        <f>SUMIFS(tblDados[VALOR],tblDados[RECEITA],tblReceita[[#This Row],[TIPO ENTRADA]],tblDados[MÊS],tblReceita[[#Headers],[ABRIL]],tblDados[ANO],AnoFluxo)</f>
        <v>0</v>
      </c>
      <c r="G7" s="8">
        <f>SUMIFS(tblDados[VALOR],tblDados[RECEITA],tblReceita[[#This Row],[TIPO ENTRADA]],tblDados[MÊS],tblReceita[[#Headers],[MAIO]],tblDados[ANO],AnoFluxo)</f>
        <v>0</v>
      </c>
      <c r="H7" s="8">
        <f>SUMIFS(tblDados[VALOR],tblDados[RECEITA],tblReceita[[#This Row],[TIPO ENTRADA]],tblDados[MÊS],tblReceita[[#Headers],[JUNHO]],tblDados[ANO],AnoFluxo)</f>
        <v>0</v>
      </c>
      <c r="I7" s="8">
        <f>SUMIFS(tblDados[VALOR],tblDados[RECEITA],tblReceita[[#This Row],[TIPO ENTRADA]],tblDados[MÊS],tblReceita[[#Headers],[JULHO]],tblDados[ANO],AnoFluxo)</f>
        <v>0</v>
      </c>
      <c r="J7" s="8">
        <f>SUMIFS(tblDados[VALOR],tblDados[RECEITA],tblReceita[[#This Row],[TIPO ENTRADA]],tblDados[MÊS],tblReceita[[#Headers],[AGOSTO]],tblDados[ANO],AnoFluxo)</f>
        <v>0</v>
      </c>
      <c r="K7" s="8">
        <f>SUMIFS(tblDados[VALOR],tblDados[RECEITA],tblReceita[[#This Row],[TIPO ENTRADA]],tblDados[MÊS],tblReceita[[#Headers],[SETEMBRO]],tblDados[ANO],AnoFluxo)</f>
        <v>0</v>
      </c>
      <c r="L7" s="8">
        <f>SUMIFS(tblDados[VALOR],tblDados[RECEITA],tblReceita[[#This Row],[TIPO ENTRADA]],tblDados[MÊS],tblReceita[[#Headers],[OUTUBRO]],tblDados[ANO],AnoFluxo)</f>
        <v>0</v>
      </c>
      <c r="M7" s="8">
        <f>SUMIFS(tblDados[VALOR],tblDados[RECEITA],tblReceita[[#This Row],[TIPO ENTRADA]],tblDados[MÊS],tblReceita[[#Headers],[NOVEMBRO]],tblDados[ANO],AnoFluxo)</f>
        <v>0</v>
      </c>
      <c r="N7" s="8">
        <f>SUMIFS(tblDados[VALOR],tblDados[RECEITA],tblReceita[[#This Row],[TIPO ENTRADA]],tblDados[MÊS],tblReceita[[#Headers],[DEZEMBRO]],tblDados[ANO],AnoFluxo)</f>
        <v>0</v>
      </c>
      <c r="O7" s="9">
        <f>SUM(tblReceita[[#This Row],[JANEIRO]:[DEZEMBRO]])</f>
        <v>0</v>
      </c>
    </row>
    <row r="8" spans="1:15" x14ac:dyDescent="0.25">
      <c r="B8" t="s">
        <v>0</v>
      </c>
      <c r="C8" s="8">
        <f>SUMIFS(tblDados[VALOR],tblDados[RECEITA],tblReceita[[#This Row],[TIPO ENTRADA]],tblDados[MÊS],tblReceita[[#Headers],[JANEIRO]],tblDados[ANO],AnoFluxo)</f>
        <v>0</v>
      </c>
      <c r="D8" s="8">
        <f>SUMIFS(tblDados[VALOR],tblDados[RECEITA],tblReceita[[#This Row],[TIPO ENTRADA]],tblDados[MÊS],tblReceita[[#Headers],[FEVEREIRO]],tblDados[ANO],AnoFluxo)</f>
        <v>0</v>
      </c>
      <c r="E8" s="8">
        <f>SUMIFS(tblDados[VALOR],tblDados[RECEITA],tblReceita[[#This Row],[TIPO ENTRADA]],tblDados[MÊS],tblReceita[[#Headers],[MARÇO]],tblDados[ANO],AnoFluxo)</f>
        <v>0</v>
      </c>
      <c r="F8" s="8">
        <f>SUMIFS(tblDados[VALOR],tblDados[RECEITA],tblReceita[[#This Row],[TIPO ENTRADA]],tblDados[MÊS],tblReceita[[#Headers],[ABRIL]],tblDados[ANO],AnoFluxo)</f>
        <v>0</v>
      </c>
      <c r="G8" s="8">
        <f>SUMIFS(tblDados[VALOR],tblDados[RECEITA],tblReceita[[#This Row],[TIPO ENTRADA]],tblDados[MÊS],tblReceita[[#Headers],[MAIO]],tblDados[ANO],AnoFluxo)</f>
        <v>0</v>
      </c>
      <c r="H8" s="8">
        <f>SUMIFS(tblDados[VALOR],tblDados[RECEITA],tblReceita[[#This Row],[TIPO ENTRADA]],tblDados[MÊS],tblReceita[[#Headers],[JUNHO]],tblDados[ANO],AnoFluxo)</f>
        <v>0</v>
      </c>
      <c r="I8" s="8">
        <f>SUMIFS(tblDados[VALOR],tblDados[RECEITA],tblReceita[[#This Row],[TIPO ENTRADA]],tblDados[MÊS],tblReceita[[#Headers],[JULHO]],tblDados[ANO],AnoFluxo)</f>
        <v>0</v>
      </c>
      <c r="J8" s="8">
        <f>SUMIFS(tblDados[VALOR],tblDados[RECEITA],tblReceita[[#This Row],[TIPO ENTRADA]],tblDados[MÊS],tblReceita[[#Headers],[AGOSTO]],tblDados[ANO],AnoFluxo)</f>
        <v>0</v>
      </c>
      <c r="K8" s="8">
        <f>SUMIFS(tblDados[VALOR],tblDados[RECEITA],tblReceita[[#This Row],[TIPO ENTRADA]],tblDados[MÊS],tblReceita[[#Headers],[SETEMBRO]],tblDados[ANO],AnoFluxo)</f>
        <v>0</v>
      </c>
      <c r="L8" s="8">
        <f>SUMIFS(tblDados[VALOR],tblDados[RECEITA],tblReceita[[#This Row],[TIPO ENTRADA]],tblDados[MÊS],tblReceita[[#Headers],[OUTUBRO]],tblDados[ANO],AnoFluxo)</f>
        <v>0</v>
      </c>
      <c r="M8" s="8">
        <f>SUMIFS(tblDados[VALOR],tblDados[RECEITA],tblReceita[[#This Row],[TIPO ENTRADA]],tblDados[MÊS],tblReceita[[#Headers],[NOVEMBRO]],tblDados[ANO],AnoFluxo)</f>
        <v>0</v>
      </c>
      <c r="N8" s="8">
        <f>SUMIFS(tblDados[VALOR],tblDados[RECEITA],tblReceita[[#This Row],[TIPO ENTRADA]],tblDados[MÊS],tblReceita[[#Headers],[DEZEMBRO]],tblDados[ANO],AnoFluxo)</f>
        <v>0</v>
      </c>
      <c r="O8" s="9">
        <f>SUM(tblReceita[[#This Row],[JANEIRO]:[DEZEMBRO]])</f>
        <v>0</v>
      </c>
    </row>
    <row r="10" spans="1:15" x14ac:dyDescent="0.25">
      <c r="A10">
        <v>1</v>
      </c>
      <c r="B10" t="s">
        <v>11</v>
      </c>
      <c r="C10" t="s">
        <v>29</v>
      </c>
      <c r="D10" t="s">
        <v>27</v>
      </c>
      <c r="E10" t="s">
        <v>30</v>
      </c>
      <c r="F10" t="s">
        <v>31</v>
      </c>
      <c r="G10" t="s">
        <v>32</v>
      </c>
      <c r="H10" t="s">
        <v>33</v>
      </c>
      <c r="I10" t="s">
        <v>34</v>
      </c>
      <c r="J10" t="s">
        <v>35</v>
      </c>
      <c r="K10" t="s">
        <v>36</v>
      </c>
      <c r="L10" t="s">
        <v>37</v>
      </c>
      <c r="M10" t="s">
        <v>38</v>
      </c>
      <c r="N10" t="s">
        <v>39</v>
      </c>
      <c r="O10" t="s">
        <v>52</v>
      </c>
    </row>
    <row r="11" spans="1:15" x14ac:dyDescent="0.25">
      <c r="A11">
        <v>2</v>
      </c>
      <c r="B11" t="s">
        <v>12</v>
      </c>
      <c r="C11" s="8">
        <f>SUMIFS(tblDados[VALOR],tblDados[DESPESA],tblDespesa[[#This Row],[TIPO SAIDA]],tblDados[MÊS],tblDespesa[[#Headers],[JANEIRO]],tblDados[ANO],AnoFluxo)</f>
        <v>0</v>
      </c>
      <c r="D11" s="8">
        <f>SUMIFS(tblDados[VALOR],tblDados[DESPESA],tblDespesa[[#This Row],[TIPO SAIDA]],tblDados[MÊS],tblDespesa[[#Headers],[FEVEREIRO]],tblDados[ANO],AnoFluxo)</f>
        <v>0</v>
      </c>
      <c r="E11" s="8">
        <f>SUMIFS(tblDados[VALOR],tblDados[DESPESA],tblDespesa[[#This Row],[TIPO SAIDA]],tblDados[MÊS],tblDespesa[[#Headers],[MARÇO]],tblDados[ANO],AnoFluxo)</f>
        <v>0</v>
      </c>
      <c r="F11" s="8">
        <f>SUMIFS(tblDados[VALOR],tblDados[DESPESA],tblDespesa[[#This Row],[TIPO SAIDA]],tblDados[MÊS],tblDespesa[[#Headers],[ABRIL]],tblDados[ANO],AnoFluxo)</f>
        <v>0</v>
      </c>
      <c r="G11" s="8">
        <f>SUMIFS(tblDados[VALOR],tblDados[DESPESA],tblDespesa[[#This Row],[TIPO SAIDA]],tblDados[MÊS],tblDespesa[[#Headers],[MAIO]],tblDados[ANO],AnoFluxo)</f>
        <v>0</v>
      </c>
      <c r="H11" s="8">
        <f>SUMIFS(tblDados[VALOR],tblDados[DESPESA],tblDespesa[[#This Row],[TIPO SAIDA]],tblDados[MÊS],tblDespesa[[#Headers],[JUNHO]],tblDados[ANO],AnoFluxo)</f>
        <v>0</v>
      </c>
      <c r="I11" s="8">
        <f>SUMIFS(tblDados[VALOR],tblDados[DESPESA],tblDespesa[[#This Row],[TIPO SAIDA]],tblDados[MÊS],tblDespesa[[#Headers],[JULHO]],tblDados[ANO],AnoFluxo)</f>
        <v>0</v>
      </c>
      <c r="J11" s="8">
        <f>SUMIFS(tblDados[VALOR],tblDados[DESPESA],tblDespesa[[#This Row],[TIPO SAIDA]],tblDados[MÊS],tblDespesa[[#Headers],[AGOSTO]],tblDados[ANO],AnoFluxo)</f>
        <v>0</v>
      </c>
      <c r="K11" s="8">
        <f>SUMIFS(tblDados[VALOR],tblDados[DESPESA],tblDespesa[[#This Row],[TIPO SAIDA]],tblDados[MÊS],tblDespesa[[#Headers],[SETEMBRO]],tblDados[ANO],AnoFluxo)</f>
        <v>0</v>
      </c>
      <c r="L11" s="8">
        <f>SUMIFS(tblDados[VALOR],tblDados[DESPESA],tblDespesa[[#This Row],[TIPO SAIDA]],tblDados[MÊS],tblDespesa[[#Headers],[OUTUBRO]],tblDados[ANO],AnoFluxo)</f>
        <v>0</v>
      </c>
      <c r="M11" s="8">
        <f>SUMIFS(tblDados[VALOR],tblDados[DESPESA],tblDespesa[[#This Row],[TIPO SAIDA]],tblDados[MÊS],tblDespesa[[#Headers],[NOVEMBRO]],tblDados[ANO],AnoFluxo)</f>
        <v>0</v>
      </c>
      <c r="N11" s="8">
        <f>SUMIFS(tblDados[VALOR],tblDados[DESPESA],tblDespesa[[#This Row],[TIPO SAIDA]],tblDados[MÊS],tblDespesa[[#Headers],[DEZEMBRO]],tblDados[ANO],AnoFluxo)</f>
        <v>0</v>
      </c>
      <c r="O11" s="10">
        <f>SUM(tblDespesa[[#This Row],[JANEIRO]:[DEZEMBRO]])</f>
        <v>0</v>
      </c>
    </row>
    <row r="12" spans="1:15" x14ac:dyDescent="0.25">
      <c r="A12">
        <v>3</v>
      </c>
      <c r="B12" t="s">
        <v>13</v>
      </c>
      <c r="C12" s="8">
        <f>SUMIFS(tblDados[VALOR],tblDados[DESPESA],tblDespesa[[#This Row],[TIPO SAIDA]],tblDados[MÊS],tblDespesa[[#Headers],[JANEIRO]],tblDados[ANO],AnoFluxo)</f>
        <v>0</v>
      </c>
      <c r="D12" s="8">
        <f>SUMIFS(tblDados[VALOR],tblDados[DESPESA],tblDespesa[[#This Row],[TIPO SAIDA]],tblDados[MÊS],tblDespesa[[#Headers],[FEVEREIRO]],tblDados[ANO],AnoFluxo)</f>
        <v>0</v>
      </c>
      <c r="E12" s="8">
        <f>SUMIFS(tblDados[VALOR],tblDados[DESPESA],tblDespesa[[#This Row],[TIPO SAIDA]],tblDados[MÊS],tblDespesa[[#Headers],[MARÇO]],tblDados[ANO],AnoFluxo)</f>
        <v>0</v>
      </c>
      <c r="F12" s="8">
        <f>SUMIFS(tblDados[VALOR],tblDados[DESPESA],tblDespesa[[#This Row],[TIPO SAIDA]],tblDados[MÊS],tblDespesa[[#Headers],[ABRIL]],tblDados[ANO],AnoFluxo)</f>
        <v>0</v>
      </c>
      <c r="G12" s="8">
        <f>SUMIFS(tblDados[VALOR],tblDados[DESPESA],tblDespesa[[#This Row],[TIPO SAIDA]],tblDados[MÊS],tblDespesa[[#Headers],[MAIO]],tblDados[ANO],AnoFluxo)</f>
        <v>0</v>
      </c>
      <c r="H12" s="8">
        <f>SUMIFS(tblDados[VALOR],tblDados[DESPESA],tblDespesa[[#This Row],[TIPO SAIDA]],tblDados[MÊS],tblDespesa[[#Headers],[JUNHO]],tblDados[ANO],AnoFluxo)</f>
        <v>0</v>
      </c>
      <c r="I12" s="8">
        <f>SUMIFS(tblDados[VALOR],tblDados[DESPESA],tblDespesa[[#This Row],[TIPO SAIDA]],tblDados[MÊS],tblDespesa[[#Headers],[JULHO]],tblDados[ANO],AnoFluxo)</f>
        <v>0</v>
      </c>
      <c r="J12" s="8">
        <f>SUMIFS(tblDados[VALOR],tblDados[DESPESA],tblDespesa[[#This Row],[TIPO SAIDA]],tblDados[MÊS],tblDespesa[[#Headers],[AGOSTO]],tblDados[ANO],AnoFluxo)</f>
        <v>0</v>
      </c>
      <c r="K12" s="8">
        <f>SUMIFS(tblDados[VALOR],tblDados[DESPESA],tblDespesa[[#This Row],[TIPO SAIDA]],tblDados[MÊS],tblDespesa[[#Headers],[SETEMBRO]],tblDados[ANO],AnoFluxo)</f>
        <v>0</v>
      </c>
      <c r="L12" s="8">
        <f>SUMIFS(tblDados[VALOR],tblDados[DESPESA],tblDespesa[[#This Row],[TIPO SAIDA]],tblDados[MÊS],tblDespesa[[#Headers],[OUTUBRO]],tblDados[ANO],AnoFluxo)</f>
        <v>0</v>
      </c>
      <c r="M12" s="8">
        <f>SUMIFS(tblDados[VALOR],tblDados[DESPESA],tblDespesa[[#This Row],[TIPO SAIDA]],tblDados[MÊS],tblDespesa[[#Headers],[NOVEMBRO]],tblDados[ANO],AnoFluxo)</f>
        <v>0</v>
      </c>
      <c r="N12" s="8">
        <f>SUMIFS(tblDados[VALOR],tblDados[DESPESA],tblDespesa[[#This Row],[TIPO SAIDA]],tblDados[MÊS],tblDespesa[[#Headers],[DEZEMBRO]],tblDados[ANO],AnoFluxo)</f>
        <v>0</v>
      </c>
      <c r="O12" s="10">
        <f>SUM(tblDespesa[[#This Row],[JANEIRO]:[DEZEMBRO]])</f>
        <v>0</v>
      </c>
    </row>
    <row r="13" spans="1:15" x14ac:dyDescent="0.25">
      <c r="A13">
        <v>4</v>
      </c>
      <c r="B13" t="s">
        <v>14</v>
      </c>
      <c r="C13" s="8">
        <f>SUMIFS(tblDados[VALOR],tblDados[DESPESA],tblDespesa[[#This Row],[TIPO SAIDA]],tblDados[MÊS],tblDespesa[[#Headers],[JANEIRO]],tblDados[ANO],AnoFluxo)</f>
        <v>0</v>
      </c>
      <c r="D13" s="8">
        <f>SUMIFS(tblDados[VALOR],tblDados[DESPESA],tblDespesa[[#This Row],[TIPO SAIDA]],tblDados[MÊS],tblDespesa[[#Headers],[FEVEREIRO]],tblDados[ANO],AnoFluxo)</f>
        <v>0</v>
      </c>
      <c r="E13" s="8">
        <f>SUMIFS(tblDados[VALOR],tblDados[DESPESA],tblDespesa[[#This Row],[TIPO SAIDA]],tblDados[MÊS],tblDespesa[[#Headers],[MARÇO]],tblDados[ANO],AnoFluxo)</f>
        <v>0</v>
      </c>
      <c r="F13" s="8">
        <f>SUMIFS(tblDados[VALOR],tblDados[DESPESA],tblDespesa[[#This Row],[TIPO SAIDA]],tblDados[MÊS],tblDespesa[[#Headers],[ABRIL]],tblDados[ANO],AnoFluxo)</f>
        <v>0</v>
      </c>
      <c r="G13" s="8">
        <f>SUMIFS(tblDados[VALOR],tblDados[DESPESA],tblDespesa[[#This Row],[TIPO SAIDA]],tblDados[MÊS],tblDespesa[[#Headers],[MAIO]],tblDados[ANO],AnoFluxo)</f>
        <v>0</v>
      </c>
      <c r="H13" s="8">
        <f>SUMIFS(tblDados[VALOR],tblDados[DESPESA],tblDespesa[[#This Row],[TIPO SAIDA]],tblDados[MÊS],tblDespesa[[#Headers],[JUNHO]],tblDados[ANO],AnoFluxo)</f>
        <v>0</v>
      </c>
      <c r="I13" s="8">
        <f>SUMIFS(tblDados[VALOR],tblDados[DESPESA],tblDespesa[[#This Row],[TIPO SAIDA]],tblDados[MÊS],tblDespesa[[#Headers],[JULHO]],tblDados[ANO],AnoFluxo)</f>
        <v>0</v>
      </c>
      <c r="J13" s="8">
        <f>SUMIFS(tblDados[VALOR],tblDados[DESPESA],tblDespesa[[#This Row],[TIPO SAIDA]],tblDados[MÊS],tblDespesa[[#Headers],[AGOSTO]],tblDados[ANO],AnoFluxo)</f>
        <v>0</v>
      </c>
      <c r="K13" s="8">
        <f>SUMIFS(tblDados[VALOR],tblDados[DESPESA],tblDespesa[[#This Row],[TIPO SAIDA]],tblDados[MÊS],tblDespesa[[#Headers],[SETEMBRO]],tblDados[ANO],AnoFluxo)</f>
        <v>0</v>
      </c>
      <c r="L13" s="8">
        <f>SUMIFS(tblDados[VALOR],tblDados[DESPESA],tblDespesa[[#This Row],[TIPO SAIDA]],tblDados[MÊS],tblDespesa[[#Headers],[OUTUBRO]],tblDados[ANO],AnoFluxo)</f>
        <v>0</v>
      </c>
      <c r="M13" s="8">
        <f>SUMIFS(tblDados[VALOR],tblDados[DESPESA],tblDespesa[[#This Row],[TIPO SAIDA]],tblDados[MÊS],tblDespesa[[#Headers],[NOVEMBRO]],tblDados[ANO],AnoFluxo)</f>
        <v>0</v>
      </c>
      <c r="N13" s="8">
        <f>SUMIFS(tblDados[VALOR],tblDados[DESPESA],tblDespesa[[#This Row],[TIPO SAIDA]],tblDados[MÊS],tblDespesa[[#Headers],[DEZEMBRO]],tblDados[ANO],AnoFluxo)</f>
        <v>0</v>
      </c>
      <c r="O13" s="10">
        <f>SUM(tblDespesa[[#This Row],[JANEIRO]:[DEZEMBRO]])</f>
        <v>0</v>
      </c>
    </row>
    <row r="14" spans="1:15" x14ac:dyDescent="0.25">
      <c r="A14">
        <v>5</v>
      </c>
      <c r="B14" t="s">
        <v>15</v>
      </c>
      <c r="C14" s="8">
        <f>SUMIFS(tblDados[VALOR],tblDados[DESPESA],tblDespesa[[#This Row],[TIPO SAIDA]],tblDados[MÊS],tblDespesa[[#Headers],[JANEIRO]],tblDados[ANO],AnoFluxo)</f>
        <v>0</v>
      </c>
      <c r="D14" s="8">
        <f>SUMIFS(tblDados[VALOR],tblDados[DESPESA],tblDespesa[[#This Row],[TIPO SAIDA]],tblDados[MÊS],tblDespesa[[#Headers],[FEVEREIRO]],tblDados[ANO],AnoFluxo)</f>
        <v>0</v>
      </c>
      <c r="E14" s="8">
        <f>SUMIFS(tblDados[VALOR],tblDados[DESPESA],tblDespesa[[#This Row],[TIPO SAIDA]],tblDados[MÊS],tblDespesa[[#Headers],[MARÇO]],tblDados[ANO],AnoFluxo)</f>
        <v>0</v>
      </c>
      <c r="F14" s="8">
        <f>SUMIFS(tblDados[VALOR],tblDados[DESPESA],tblDespesa[[#This Row],[TIPO SAIDA]],tblDados[MÊS],tblDespesa[[#Headers],[ABRIL]],tblDados[ANO],AnoFluxo)</f>
        <v>0</v>
      </c>
      <c r="G14" s="8">
        <f>SUMIFS(tblDados[VALOR],tblDados[DESPESA],tblDespesa[[#This Row],[TIPO SAIDA]],tblDados[MÊS],tblDespesa[[#Headers],[MAIO]],tblDados[ANO],AnoFluxo)</f>
        <v>0</v>
      </c>
      <c r="H14" s="8">
        <f>SUMIFS(tblDados[VALOR],tblDados[DESPESA],tblDespesa[[#This Row],[TIPO SAIDA]],tblDados[MÊS],tblDespesa[[#Headers],[JUNHO]],tblDados[ANO],AnoFluxo)</f>
        <v>0</v>
      </c>
      <c r="I14" s="8">
        <f>SUMIFS(tblDados[VALOR],tblDados[DESPESA],tblDespesa[[#This Row],[TIPO SAIDA]],tblDados[MÊS],tblDespesa[[#Headers],[JULHO]],tblDados[ANO],AnoFluxo)</f>
        <v>0</v>
      </c>
      <c r="J14" s="8">
        <f>SUMIFS(tblDados[VALOR],tblDados[DESPESA],tblDespesa[[#This Row],[TIPO SAIDA]],tblDados[MÊS],tblDespesa[[#Headers],[AGOSTO]],tblDados[ANO],AnoFluxo)</f>
        <v>0</v>
      </c>
      <c r="K14" s="8">
        <f>SUMIFS(tblDados[VALOR],tblDados[DESPESA],tblDespesa[[#This Row],[TIPO SAIDA]],tblDados[MÊS],tblDespesa[[#Headers],[SETEMBRO]],tblDados[ANO],AnoFluxo)</f>
        <v>0</v>
      </c>
      <c r="L14" s="8">
        <f>SUMIFS(tblDados[VALOR],tblDados[DESPESA],tblDespesa[[#This Row],[TIPO SAIDA]],tblDados[MÊS],tblDespesa[[#Headers],[OUTUBRO]],tblDados[ANO],AnoFluxo)</f>
        <v>0</v>
      </c>
      <c r="M14" s="8">
        <f>SUMIFS(tblDados[VALOR],tblDados[DESPESA],tblDespesa[[#This Row],[TIPO SAIDA]],tblDados[MÊS],tblDespesa[[#Headers],[NOVEMBRO]],tblDados[ANO],AnoFluxo)</f>
        <v>0</v>
      </c>
      <c r="N14" s="8">
        <f>SUMIFS(tblDados[VALOR],tblDados[DESPESA],tblDespesa[[#This Row],[TIPO SAIDA]],tblDados[MÊS],tblDespesa[[#Headers],[DEZEMBRO]],tblDados[ANO],AnoFluxo)</f>
        <v>0</v>
      </c>
      <c r="O14" s="10">
        <f>SUM(tblDespesa[[#This Row],[JANEIRO]:[DEZEMBRO]])</f>
        <v>0</v>
      </c>
    </row>
    <row r="15" spans="1:15" x14ac:dyDescent="0.25">
      <c r="A15">
        <v>6</v>
      </c>
      <c r="B15" t="s">
        <v>16</v>
      </c>
      <c r="C15" s="8">
        <f>SUMIFS(tblDados[VALOR],tblDados[DESPESA],tblDespesa[[#This Row],[TIPO SAIDA]],tblDados[MÊS],tblDespesa[[#Headers],[JANEIRO]],tblDados[ANO],AnoFluxo)</f>
        <v>0</v>
      </c>
      <c r="D15" s="8">
        <f>SUMIFS(tblDados[VALOR],tblDados[DESPESA],tblDespesa[[#This Row],[TIPO SAIDA]],tblDados[MÊS],tblDespesa[[#Headers],[FEVEREIRO]],tblDados[ANO],AnoFluxo)</f>
        <v>0</v>
      </c>
      <c r="E15" s="8">
        <f>SUMIFS(tblDados[VALOR],tblDados[DESPESA],tblDespesa[[#This Row],[TIPO SAIDA]],tblDados[MÊS],tblDespesa[[#Headers],[MARÇO]],tblDados[ANO],AnoFluxo)</f>
        <v>0</v>
      </c>
      <c r="F15" s="8">
        <f>SUMIFS(tblDados[VALOR],tblDados[DESPESA],tblDespesa[[#This Row],[TIPO SAIDA]],tblDados[MÊS],tblDespesa[[#Headers],[ABRIL]],tblDados[ANO],AnoFluxo)</f>
        <v>0</v>
      </c>
      <c r="G15" s="8">
        <f>SUMIFS(tblDados[VALOR],tblDados[DESPESA],tblDespesa[[#This Row],[TIPO SAIDA]],tblDados[MÊS],tblDespesa[[#Headers],[MAIO]],tblDados[ANO],AnoFluxo)</f>
        <v>0</v>
      </c>
      <c r="H15" s="8">
        <f>SUMIFS(tblDados[VALOR],tblDados[DESPESA],tblDespesa[[#This Row],[TIPO SAIDA]],tblDados[MÊS],tblDespesa[[#Headers],[JUNHO]],tblDados[ANO],AnoFluxo)</f>
        <v>0</v>
      </c>
      <c r="I15" s="8">
        <f>SUMIFS(tblDados[VALOR],tblDados[DESPESA],tblDespesa[[#This Row],[TIPO SAIDA]],tblDados[MÊS],tblDespesa[[#Headers],[JULHO]],tblDados[ANO],AnoFluxo)</f>
        <v>0</v>
      </c>
      <c r="J15" s="8">
        <f>SUMIFS(tblDados[VALOR],tblDados[DESPESA],tblDespesa[[#This Row],[TIPO SAIDA]],tblDados[MÊS],tblDespesa[[#Headers],[AGOSTO]],tblDados[ANO],AnoFluxo)</f>
        <v>0</v>
      </c>
      <c r="K15" s="8">
        <f>SUMIFS(tblDados[VALOR],tblDados[DESPESA],tblDespesa[[#This Row],[TIPO SAIDA]],tblDados[MÊS],tblDespesa[[#Headers],[SETEMBRO]],tblDados[ANO],AnoFluxo)</f>
        <v>0</v>
      </c>
      <c r="L15" s="8">
        <f>SUMIFS(tblDados[VALOR],tblDados[DESPESA],tblDespesa[[#This Row],[TIPO SAIDA]],tblDados[MÊS],tblDespesa[[#Headers],[OUTUBRO]],tblDados[ANO],AnoFluxo)</f>
        <v>0</v>
      </c>
      <c r="M15" s="8">
        <f>SUMIFS(tblDados[VALOR],tblDados[DESPESA],tblDespesa[[#This Row],[TIPO SAIDA]],tblDados[MÊS],tblDespesa[[#Headers],[NOVEMBRO]],tblDados[ANO],AnoFluxo)</f>
        <v>0</v>
      </c>
      <c r="N15" s="8">
        <f>SUMIFS(tblDados[VALOR],tblDados[DESPESA],tblDespesa[[#This Row],[TIPO SAIDA]],tblDados[MÊS],tblDespesa[[#Headers],[DEZEMBRO]],tblDados[ANO],AnoFluxo)</f>
        <v>0</v>
      </c>
      <c r="O15" s="10">
        <f>SUM(tblDespesa[[#This Row],[JANEIRO]:[DEZEMBRO]])</f>
        <v>0</v>
      </c>
    </row>
    <row r="16" spans="1:15" x14ac:dyDescent="0.25">
      <c r="A16">
        <v>7</v>
      </c>
      <c r="B16" t="s">
        <v>17</v>
      </c>
      <c r="C16" s="8">
        <f>SUMIFS(tblDados[VALOR],tblDados[DESPESA],tblDespesa[[#This Row],[TIPO SAIDA]],tblDados[MÊS],tblDespesa[[#Headers],[JANEIRO]],tblDados[ANO],AnoFluxo)</f>
        <v>0</v>
      </c>
      <c r="D16" s="8">
        <f>SUMIFS(tblDados[VALOR],tblDados[DESPESA],tblDespesa[[#This Row],[TIPO SAIDA]],tblDados[MÊS],tblDespesa[[#Headers],[FEVEREIRO]],tblDados[ANO],AnoFluxo)</f>
        <v>0</v>
      </c>
      <c r="E16" s="8">
        <f>SUMIFS(tblDados[VALOR],tblDados[DESPESA],tblDespesa[[#This Row],[TIPO SAIDA]],tblDados[MÊS],tblDespesa[[#Headers],[MARÇO]],tblDados[ANO],AnoFluxo)</f>
        <v>0</v>
      </c>
      <c r="F16" s="8">
        <f>SUMIFS(tblDados[VALOR],tblDados[DESPESA],tblDespesa[[#This Row],[TIPO SAIDA]],tblDados[MÊS],tblDespesa[[#Headers],[ABRIL]],tblDados[ANO],AnoFluxo)</f>
        <v>0</v>
      </c>
      <c r="G16" s="8">
        <f>SUMIFS(tblDados[VALOR],tblDados[DESPESA],tblDespesa[[#This Row],[TIPO SAIDA]],tblDados[MÊS],tblDespesa[[#Headers],[MAIO]],tblDados[ANO],AnoFluxo)</f>
        <v>0</v>
      </c>
      <c r="H16" s="8">
        <f>SUMIFS(tblDados[VALOR],tblDados[DESPESA],tblDespesa[[#This Row],[TIPO SAIDA]],tblDados[MÊS],tblDespesa[[#Headers],[JUNHO]],tblDados[ANO],AnoFluxo)</f>
        <v>0</v>
      </c>
      <c r="I16" s="8">
        <f>SUMIFS(tblDados[VALOR],tblDados[DESPESA],tblDespesa[[#This Row],[TIPO SAIDA]],tblDados[MÊS],tblDespesa[[#Headers],[JULHO]],tblDados[ANO],AnoFluxo)</f>
        <v>0</v>
      </c>
      <c r="J16" s="8">
        <f>SUMIFS(tblDados[VALOR],tblDados[DESPESA],tblDespesa[[#This Row],[TIPO SAIDA]],tblDados[MÊS],tblDespesa[[#Headers],[AGOSTO]],tblDados[ANO],AnoFluxo)</f>
        <v>0</v>
      </c>
      <c r="K16" s="8">
        <f>SUMIFS(tblDados[VALOR],tblDados[DESPESA],tblDespesa[[#This Row],[TIPO SAIDA]],tblDados[MÊS],tblDespesa[[#Headers],[SETEMBRO]],tblDados[ANO],AnoFluxo)</f>
        <v>0</v>
      </c>
      <c r="L16" s="8">
        <f>SUMIFS(tblDados[VALOR],tblDados[DESPESA],tblDespesa[[#This Row],[TIPO SAIDA]],tblDados[MÊS],tblDespesa[[#Headers],[OUTUBRO]],tblDados[ANO],AnoFluxo)</f>
        <v>0</v>
      </c>
      <c r="M16" s="8">
        <f>SUMIFS(tblDados[VALOR],tblDados[DESPESA],tblDespesa[[#This Row],[TIPO SAIDA]],tblDados[MÊS],tblDespesa[[#Headers],[NOVEMBRO]],tblDados[ANO],AnoFluxo)</f>
        <v>0</v>
      </c>
      <c r="N16" s="8">
        <f>SUMIFS(tblDados[VALOR],tblDados[DESPESA],tblDespesa[[#This Row],[TIPO SAIDA]],tblDados[MÊS],tblDespesa[[#Headers],[DEZEMBRO]],tblDados[ANO],AnoFluxo)</f>
        <v>0</v>
      </c>
      <c r="O16" s="10">
        <f>SUM(tblDespesa[[#This Row],[JANEIRO]:[DEZEMBRO]])</f>
        <v>0</v>
      </c>
    </row>
    <row r="17" spans="1:15" x14ac:dyDescent="0.25">
      <c r="A17">
        <v>8</v>
      </c>
      <c r="B17" t="s">
        <v>18</v>
      </c>
      <c r="C17" s="8">
        <f>SUMIFS(tblDados[VALOR],tblDados[DESPESA],tblDespesa[[#This Row],[TIPO SAIDA]],tblDados[MÊS],tblDespesa[[#Headers],[JANEIRO]],tblDados[ANO],AnoFluxo)</f>
        <v>0</v>
      </c>
      <c r="D17" s="8">
        <f>SUMIFS(tblDados[VALOR],tblDados[DESPESA],tblDespesa[[#This Row],[TIPO SAIDA]],tblDados[MÊS],tblDespesa[[#Headers],[FEVEREIRO]],tblDados[ANO],AnoFluxo)</f>
        <v>0</v>
      </c>
      <c r="E17" s="8">
        <f>SUMIFS(tblDados[VALOR],tblDados[DESPESA],tblDespesa[[#This Row],[TIPO SAIDA]],tblDados[MÊS],tblDespesa[[#Headers],[MARÇO]],tblDados[ANO],AnoFluxo)</f>
        <v>0</v>
      </c>
      <c r="F17" s="8">
        <f>SUMIFS(tblDados[VALOR],tblDados[DESPESA],tblDespesa[[#This Row],[TIPO SAIDA]],tblDados[MÊS],tblDespesa[[#Headers],[ABRIL]],tblDados[ANO],AnoFluxo)</f>
        <v>0</v>
      </c>
      <c r="G17" s="8">
        <f>SUMIFS(tblDados[VALOR],tblDados[DESPESA],tblDespesa[[#This Row],[TIPO SAIDA]],tblDados[MÊS],tblDespesa[[#Headers],[MAIO]],tblDados[ANO],AnoFluxo)</f>
        <v>0</v>
      </c>
      <c r="H17" s="8">
        <f>SUMIFS(tblDados[VALOR],tblDados[DESPESA],tblDespesa[[#This Row],[TIPO SAIDA]],tblDados[MÊS],tblDespesa[[#Headers],[JUNHO]],tblDados[ANO],AnoFluxo)</f>
        <v>0</v>
      </c>
      <c r="I17" s="8">
        <f>SUMIFS(tblDados[VALOR],tblDados[DESPESA],tblDespesa[[#This Row],[TIPO SAIDA]],tblDados[MÊS],tblDespesa[[#Headers],[JULHO]],tblDados[ANO],AnoFluxo)</f>
        <v>0</v>
      </c>
      <c r="J17" s="8">
        <f>SUMIFS(tblDados[VALOR],tblDados[DESPESA],tblDespesa[[#This Row],[TIPO SAIDA]],tblDados[MÊS],tblDespesa[[#Headers],[AGOSTO]],tblDados[ANO],AnoFluxo)</f>
        <v>0</v>
      </c>
      <c r="K17" s="8">
        <f>SUMIFS(tblDados[VALOR],tblDados[DESPESA],tblDespesa[[#This Row],[TIPO SAIDA]],tblDados[MÊS],tblDespesa[[#Headers],[SETEMBRO]],tblDados[ANO],AnoFluxo)</f>
        <v>0</v>
      </c>
      <c r="L17" s="8">
        <f>SUMIFS(tblDados[VALOR],tblDados[DESPESA],tblDespesa[[#This Row],[TIPO SAIDA]],tblDados[MÊS],tblDespesa[[#Headers],[OUTUBRO]],tblDados[ANO],AnoFluxo)</f>
        <v>0</v>
      </c>
      <c r="M17" s="8">
        <f>SUMIFS(tblDados[VALOR],tblDados[DESPESA],tblDespesa[[#This Row],[TIPO SAIDA]],tblDados[MÊS],tblDespesa[[#Headers],[NOVEMBRO]],tblDados[ANO],AnoFluxo)</f>
        <v>0</v>
      </c>
      <c r="N17" s="8">
        <f>SUMIFS(tblDados[VALOR],tblDados[DESPESA],tblDespesa[[#This Row],[TIPO SAIDA]],tblDados[MÊS],tblDespesa[[#Headers],[DEZEMBRO]],tblDados[ANO],AnoFluxo)</f>
        <v>0</v>
      </c>
      <c r="O17" s="10">
        <f>SUM(tblDespesa[[#This Row],[JANEIRO]:[DEZEMBRO]])</f>
        <v>0</v>
      </c>
    </row>
    <row r="18" spans="1:15" x14ac:dyDescent="0.25">
      <c r="A18">
        <v>9</v>
      </c>
      <c r="B18" t="s">
        <v>19</v>
      </c>
      <c r="C18" s="8">
        <f>SUMIFS(tblDados[VALOR],tblDados[DESPESA],tblDespesa[[#This Row],[TIPO SAIDA]],tblDados[MÊS],tblDespesa[[#Headers],[JANEIRO]],tblDados[ANO],AnoFluxo)</f>
        <v>0</v>
      </c>
      <c r="D18" s="8">
        <f>SUMIFS(tblDados[VALOR],tblDados[DESPESA],tblDespesa[[#This Row],[TIPO SAIDA]],tblDados[MÊS],tblDespesa[[#Headers],[FEVEREIRO]],tblDados[ANO],AnoFluxo)</f>
        <v>0</v>
      </c>
      <c r="E18" s="8">
        <f>SUMIFS(tblDados[VALOR],tblDados[DESPESA],tblDespesa[[#This Row],[TIPO SAIDA]],tblDados[MÊS],tblDespesa[[#Headers],[MARÇO]],tblDados[ANO],AnoFluxo)</f>
        <v>0</v>
      </c>
      <c r="F18" s="8">
        <f>SUMIFS(tblDados[VALOR],tblDados[DESPESA],tblDespesa[[#This Row],[TIPO SAIDA]],tblDados[MÊS],tblDespesa[[#Headers],[ABRIL]],tblDados[ANO],AnoFluxo)</f>
        <v>0</v>
      </c>
      <c r="G18" s="8">
        <f>SUMIFS(tblDados[VALOR],tblDados[DESPESA],tblDespesa[[#This Row],[TIPO SAIDA]],tblDados[MÊS],tblDespesa[[#Headers],[MAIO]],tblDados[ANO],AnoFluxo)</f>
        <v>0</v>
      </c>
      <c r="H18" s="8">
        <f>SUMIFS(tblDados[VALOR],tblDados[DESPESA],tblDespesa[[#This Row],[TIPO SAIDA]],tblDados[MÊS],tblDespesa[[#Headers],[JUNHO]],tblDados[ANO],AnoFluxo)</f>
        <v>0</v>
      </c>
      <c r="I18" s="8">
        <f>SUMIFS(tblDados[VALOR],tblDados[DESPESA],tblDespesa[[#This Row],[TIPO SAIDA]],tblDados[MÊS],tblDespesa[[#Headers],[JULHO]],tblDados[ANO],AnoFluxo)</f>
        <v>0</v>
      </c>
      <c r="J18" s="8">
        <f>SUMIFS(tblDados[VALOR],tblDados[DESPESA],tblDespesa[[#This Row],[TIPO SAIDA]],tblDados[MÊS],tblDespesa[[#Headers],[AGOSTO]],tblDados[ANO],AnoFluxo)</f>
        <v>0</v>
      </c>
      <c r="K18" s="8">
        <f>SUMIFS(tblDados[VALOR],tblDados[DESPESA],tblDespesa[[#This Row],[TIPO SAIDA]],tblDados[MÊS],tblDespesa[[#Headers],[SETEMBRO]],tblDados[ANO],AnoFluxo)</f>
        <v>0</v>
      </c>
      <c r="L18" s="8">
        <f>SUMIFS(tblDados[VALOR],tblDados[DESPESA],tblDespesa[[#This Row],[TIPO SAIDA]],tblDados[MÊS],tblDespesa[[#Headers],[OUTUBRO]],tblDados[ANO],AnoFluxo)</f>
        <v>0</v>
      </c>
      <c r="M18" s="8">
        <f>SUMIFS(tblDados[VALOR],tblDados[DESPESA],tblDespesa[[#This Row],[TIPO SAIDA]],tblDados[MÊS],tblDespesa[[#Headers],[NOVEMBRO]],tblDados[ANO],AnoFluxo)</f>
        <v>0</v>
      </c>
      <c r="N18" s="8">
        <f>SUMIFS(tblDados[VALOR],tblDados[DESPESA],tblDespesa[[#This Row],[TIPO SAIDA]],tblDados[MÊS],tblDespesa[[#Headers],[DEZEMBRO]],tblDados[ANO],AnoFluxo)</f>
        <v>0</v>
      </c>
      <c r="O18" s="10">
        <f>SUM(tblDespesa[[#This Row],[JANEIRO]:[DEZEMBRO]])</f>
        <v>0</v>
      </c>
    </row>
    <row r="19" spans="1:15" x14ac:dyDescent="0.25"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10"/>
    </row>
    <row r="21" spans="1:15" x14ac:dyDescent="0.25">
      <c r="B21" s="17" t="s">
        <v>55</v>
      </c>
      <c r="C21" s="18">
        <f>SUMIFS(tblDados[VALOR],tblDados[RECEITA],"VALOR INICIAL OU ANTERIOR",tblDados[ANO],AnoFluxo)</f>
        <v>0</v>
      </c>
    </row>
    <row r="22" spans="1:15" x14ac:dyDescent="0.25">
      <c r="A22">
        <v>1</v>
      </c>
      <c r="B22" s="19" t="s">
        <v>40</v>
      </c>
      <c r="C22" s="19" t="s">
        <v>29</v>
      </c>
      <c r="D22" s="19" t="s">
        <v>27</v>
      </c>
      <c r="E22" s="19" t="s">
        <v>30</v>
      </c>
      <c r="F22" s="19" t="s">
        <v>31</v>
      </c>
      <c r="G22" s="19" t="s">
        <v>32</v>
      </c>
      <c r="H22" s="19" t="s">
        <v>33</v>
      </c>
      <c r="I22" s="19" t="s">
        <v>34</v>
      </c>
      <c r="J22" s="19" t="s">
        <v>35</v>
      </c>
      <c r="K22" s="19" t="s">
        <v>36</v>
      </c>
      <c r="L22" s="19" t="s">
        <v>37</v>
      </c>
      <c r="M22" s="19" t="s">
        <v>38</v>
      </c>
      <c r="N22" s="19" t="s">
        <v>39</v>
      </c>
      <c r="O22" s="19" t="s">
        <v>52</v>
      </c>
    </row>
    <row r="23" spans="1:15" x14ac:dyDescent="0.25">
      <c r="A23">
        <v>2</v>
      </c>
      <c r="B23" s="19" t="s">
        <v>66</v>
      </c>
      <c r="C23" s="28">
        <f>C21</f>
        <v>0</v>
      </c>
      <c r="D23" s="28">
        <f>C27</f>
        <v>0</v>
      </c>
      <c r="E23" s="28">
        <f t="shared" ref="E23:N23" si="0">D27</f>
        <v>0</v>
      </c>
      <c r="F23" s="28">
        <f t="shared" si="0"/>
        <v>0</v>
      </c>
      <c r="G23" s="28">
        <f t="shared" si="0"/>
        <v>0</v>
      </c>
      <c r="H23" s="28">
        <f t="shared" si="0"/>
        <v>0</v>
      </c>
      <c r="I23" s="28">
        <f t="shared" si="0"/>
        <v>0</v>
      </c>
      <c r="J23" s="28">
        <f t="shared" si="0"/>
        <v>0</v>
      </c>
      <c r="K23" s="28">
        <f t="shared" si="0"/>
        <v>0</v>
      </c>
      <c r="L23" s="28">
        <f t="shared" si="0"/>
        <v>0</v>
      </c>
      <c r="M23" s="28">
        <f t="shared" si="0"/>
        <v>0</v>
      </c>
      <c r="N23" s="28">
        <f t="shared" si="0"/>
        <v>300</v>
      </c>
      <c r="O23" s="28">
        <f>C21</f>
        <v>0</v>
      </c>
    </row>
    <row r="24" spans="1:15" x14ac:dyDescent="0.25">
      <c r="A24">
        <v>3</v>
      </c>
      <c r="B24" s="20" t="s">
        <v>56</v>
      </c>
      <c r="C24" s="24">
        <f>SUM(tblReceita[JANEIRO])</f>
        <v>0</v>
      </c>
      <c r="D24" s="24">
        <f>SUM(tblReceita[FEVEREIRO])</f>
        <v>0</v>
      </c>
      <c r="E24" s="24">
        <f>SUM(tblReceita[MARÇO])</f>
        <v>0</v>
      </c>
      <c r="F24" s="24">
        <f>SUM(tblReceita[ABRIL])</f>
        <v>0</v>
      </c>
      <c r="G24" s="24">
        <f>SUM(tblReceita[MAIO])</f>
        <v>0</v>
      </c>
      <c r="H24" s="24">
        <f>SUM(tblReceita[JUNHO])</f>
        <v>0</v>
      </c>
      <c r="I24" s="24">
        <f>SUM(tblReceita[JULHO])</f>
        <v>0</v>
      </c>
      <c r="J24" s="24">
        <f>SUM(tblReceita[AGOSTO])</f>
        <v>0</v>
      </c>
      <c r="K24" s="24">
        <f>SUM(tblReceita[SETEMBRO])</f>
        <v>0</v>
      </c>
      <c r="L24" s="24">
        <f>SUM(tblReceita[OUTUBRO])</f>
        <v>0</v>
      </c>
      <c r="M24" s="24">
        <f>SUM(tblReceita[NOVEMBRO])</f>
        <v>300</v>
      </c>
      <c r="N24" s="24">
        <f>SUM(tblReceita[DEZEMBRO])</f>
        <v>0</v>
      </c>
      <c r="O24" s="28">
        <f>SUM(C24:N24)</f>
        <v>300</v>
      </c>
    </row>
    <row r="25" spans="1:15" x14ac:dyDescent="0.25">
      <c r="A25">
        <v>4</v>
      </c>
      <c r="B25" s="21" t="s">
        <v>57</v>
      </c>
      <c r="C25" s="25">
        <f>SUM(tblDespesa[JANEIRO])</f>
        <v>0</v>
      </c>
      <c r="D25" s="25">
        <f>SUM(tblDespesa[FEVEREIRO])</f>
        <v>0</v>
      </c>
      <c r="E25" s="25">
        <f>SUM(tblDespesa[MARÇO])</f>
        <v>0</v>
      </c>
      <c r="F25" s="25">
        <f>SUM(tblDespesa[ABRIL])</f>
        <v>0</v>
      </c>
      <c r="G25" s="25">
        <f>SUM(tblDespesa[MAIO])</f>
        <v>0</v>
      </c>
      <c r="H25" s="25">
        <f>SUM(tblDespesa[JUNHO])</f>
        <v>0</v>
      </c>
      <c r="I25" s="25">
        <f>SUM(tblDespesa[JULHO])</f>
        <v>0</v>
      </c>
      <c r="J25" s="25">
        <f>SUM(tblDespesa[AGOSTO])</f>
        <v>0</v>
      </c>
      <c r="K25" s="25">
        <f>SUM(tblDespesa[SETEMBRO])</f>
        <v>0</v>
      </c>
      <c r="L25" s="25">
        <f>SUM(tblDespesa[OUTUBRO])</f>
        <v>0</v>
      </c>
      <c r="M25" s="25">
        <f>SUM(tblDespesa[NOVEMBRO])</f>
        <v>0</v>
      </c>
      <c r="N25" s="25">
        <f>SUM(tblDespesa[DEZEMBRO])</f>
        <v>0</v>
      </c>
      <c r="O25" s="28">
        <f>SUM(C25:N25)</f>
        <v>0</v>
      </c>
    </row>
    <row r="26" spans="1:15" x14ac:dyDescent="0.25">
      <c r="A26">
        <v>5</v>
      </c>
      <c r="B26" s="23" t="s">
        <v>58</v>
      </c>
      <c r="C26" s="27">
        <f>C24-C25</f>
        <v>0</v>
      </c>
      <c r="D26" s="27">
        <f t="shared" ref="D26:N26" si="1">D24-D25</f>
        <v>0</v>
      </c>
      <c r="E26" s="27">
        <f t="shared" si="1"/>
        <v>0</v>
      </c>
      <c r="F26" s="27">
        <f t="shared" si="1"/>
        <v>0</v>
      </c>
      <c r="G26" s="27">
        <f t="shared" si="1"/>
        <v>0</v>
      </c>
      <c r="H26" s="27">
        <f t="shared" si="1"/>
        <v>0</v>
      </c>
      <c r="I26" s="27">
        <f t="shared" si="1"/>
        <v>0</v>
      </c>
      <c r="J26" s="27">
        <f t="shared" si="1"/>
        <v>0</v>
      </c>
      <c r="K26" s="27">
        <f t="shared" si="1"/>
        <v>0</v>
      </c>
      <c r="L26" s="27">
        <f t="shared" si="1"/>
        <v>0</v>
      </c>
      <c r="M26" s="27">
        <f t="shared" si="1"/>
        <v>300</v>
      </c>
      <c r="N26" s="27">
        <f t="shared" si="1"/>
        <v>0</v>
      </c>
      <c r="O26" s="28">
        <f>O24-O25</f>
        <v>300</v>
      </c>
    </row>
    <row r="27" spans="1:15" x14ac:dyDescent="0.25">
      <c r="A27">
        <v>6</v>
      </c>
      <c r="B27" s="22" t="s">
        <v>67</v>
      </c>
      <c r="C27" s="26">
        <f>C23+C24-C25</f>
        <v>0</v>
      </c>
      <c r="D27" s="26">
        <f>D23+D24-D25</f>
        <v>0</v>
      </c>
      <c r="E27" s="26">
        <f t="shared" ref="E27:O27" si="2">E23+E24-E25</f>
        <v>0</v>
      </c>
      <c r="F27" s="26">
        <f t="shared" si="2"/>
        <v>0</v>
      </c>
      <c r="G27" s="26">
        <f t="shared" si="2"/>
        <v>0</v>
      </c>
      <c r="H27" s="26">
        <f t="shared" si="2"/>
        <v>0</v>
      </c>
      <c r="I27" s="26">
        <f t="shared" si="2"/>
        <v>0</v>
      </c>
      <c r="J27" s="26">
        <f t="shared" si="2"/>
        <v>0</v>
      </c>
      <c r="K27" s="26">
        <f t="shared" si="2"/>
        <v>0</v>
      </c>
      <c r="L27" s="26">
        <f t="shared" si="2"/>
        <v>0</v>
      </c>
      <c r="M27" s="26">
        <f t="shared" si="2"/>
        <v>300</v>
      </c>
      <c r="N27" s="26">
        <f t="shared" si="2"/>
        <v>300</v>
      </c>
      <c r="O27" s="28">
        <f t="shared" si="2"/>
        <v>300</v>
      </c>
    </row>
    <row r="29" spans="1:15" x14ac:dyDescent="0.25">
      <c r="O29" s="8"/>
    </row>
    <row r="30" spans="1:15" x14ac:dyDescent="0.25">
      <c r="B30" s="17" t="s">
        <v>59</v>
      </c>
      <c r="C30" s="29">
        <v>11</v>
      </c>
      <c r="H30" s="41" t="s">
        <v>70</v>
      </c>
      <c r="I30" s="41" t="s">
        <v>71</v>
      </c>
      <c r="O30" s="8"/>
    </row>
    <row r="31" spans="1:15" x14ac:dyDescent="0.25">
      <c r="B31" s="19" t="s">
        <v>40</v>
      </c>
      <c r="C31" s="30" t="str">
        <f>INDEX($C$22:$N$26,$A22,$C$30)</f>
        <v>NOVEMBRO</v>
      </c>
      <c r="D31" s="43" t="str">
        <f>IF(OpcaoGrafico=1,VisaoG,IF(OpcaoGrafico=2,"Ano "&amp;AnoFluxo,""))</f>
        <v>NOVEMBRO</v>
      </c>
      <c r="H31" s="41"/>
      <c r="I31" s="41"/>
      <c r="O31" s="8"/>
    </row>
    <row r="32" spans="1:15" x14ac:dyDescent="0.25">
      <c r="B32" s="19" t="s">
        <v>66</v>
      </c>
      <c r="C32" s="40">
        <f>INDEX($C$22:$N$26,$A23,$C$30)</f>
        <v>0</v>
      </c>
      <c r="D32" s="43"/>
      <c r="H32" s="41"/>
      <c r="I32" s="42">
        <f>VisaoF/VisaoR</f>
        <v>1</v>
      </c>
      <c r="O32" s="8"/>
    </row>
    <row r="33" spans="2:4" x14ac:dyDescent="0.25">
      <c r="B33" s="20" t="s">
        <v>56</v>
      </c>
      <c r="C33" s="31">
        <f>INDEX($C$22:$N$26,$A24,$C$30)</f>
        <v>300</v>
      </c>
      <c r="D33" s="44">
        <f>IF(OpcaoGrafico=1,VisaoR,IF(OpcaoGrafico=2,ReceitaAno,""))</f>
        <v>300</v>
      </c>
    </row>
    <row r="34" spans="2:4" x14ac:dyDescent="0.25">
      <c r="B34" s="21" t="s">
        <v>57</v>
      </c>
      <c r="C34" s="32">
        <f>INDEX($C$22:$N$26,$A25,$C$30)</f>
        <v>0</v>
      </c>
      <c r="D34" s="44">
        <f>IF(OpcaoGrafico=1,VisaoD,IF(OpcaoGrafico=2,DespesaAno,""))</f>
        <v>0</v>
      </c>
    </row>
    <row r="35" spans="2:4" x14ac:dyDescent="0.25">
      <c r="B35" s="23" t="s">
        <v>58</v>
      </c>
      <c r="C35" s="34">
        <f t="shared" ref="C35" si="3">INDEX($C$22:$N$26,$A26,$C$30)</f>
        <v>300</v>
      </c>
      <c r="D35" s="44">
        <f>IF(OpcaoGrafico=1,VisaoF,IF(OpcaoGrafico=2,FluxoAno,""))</f>
        <v>300</v>
      </c>
    </row>
    <row r="36" spans="2:4" x14ac:dyDescent="0.25">
      <c r="B36" s="22" t="s">
        <v>67</v>
      </c>
      <c r="C36" s="33">
        <f>INDEX($C$22:$N$27,$A27,$C$30)</f>
        <v>300</v>
      </c>
      <c r="D36" s="44">
        <f>IF(OpcaoGrafico=1,VisaoL,IF(OpcaoGrafico=2,AcumuladoAno,""))</f>
        <v>300</v>
      </c>
    </row>
    <row r="39" spans="2:4" x14ac:dyDescent="0.25">
      <c r="B39" s="37" t="s">
        <v>11</v>
      </c>
      <c r="C39" s="38" t="str">
        <f>INDEX(tblDespesa[[#All],[JANEIRO]:[DEZEMBRO]],$A10,$C$30)</f>
        <v>NOVEMBRO</v>
      </c>
    </row>
    <row r="40" spans="2:4" x14ac:dyDescent="0.25">
      <c r="B40" s="36" t="s">
        <v>12</v>
      </c>
      <c r="C40" s="39">
        <f>INDEX(tblDespesa[[#All],[JANEIRO]:[DEZEMBRO]],$A11,$C$30)</f>
        <v>0</v>
      </c>
    </row>
    <row r="41" spans="2:4" x14ac:dyDescent="0.25">
      <c r="B41" s="35" t="s">
        <v>13</v>
      </c>
      <c r="C41" s="39">
        <f>INDEX(tblDespesa[[#All],[JANEIRO]:[DEZEMBRO]],$A12,$C$30)</f>
        <v>0</v>
      </c>
    </row>
    <row r="42" spans="2:4" x14ac:dyDescent="0.25">
      <c r="B42" s="36" t="s">
        <v>14</v>
      </c>
      <c r="C42" s="39">
        <f>INDEX(tblDespesa[[#All],[JANEIRO]:[DEZEMBRO]],$A13,$C$30)</f>
        <v>0</v>
      </c>
    </row>
    <row r="43" spans="2:4" x14ac:dyDescent="0.25">
      <c r="B43" s="35" t="s">
        <v>15</v>
      </c>
      <c r="C43" s="39">
        <f>INDEX(tblDespesa[[#All],[JANEIRO]:[DEZEMBRO]],$A14,$C$30)</f>
        <v>0</v>
      </c>
    </row>
    <row r="44" spans="2:4" x14ac:dyDescent="0.25">
      <c r="B44" s="36" t="s">
        <v>16</v>
      </c>
      <c r="C44" s="39">
        <f>INDEX(tblDespesa[[#All],[JANEIRO]:[DEZEMBRO]],$A15,$C$30)</f>
        <v>0</v>
      </c>
    </row>
    <row r="45" spans="2:4" x14ac:dyDescent="0.25">
      <c r="B45" s="35" t="s">
        <v>17</v>
      </c>
      <c r="C45" s="39">
        <f>INDEX(tblDespesa[[#All],[JANEIRO]:[DEZEMBRO]],$A16,$C$30)</f>
        <v>0</v>
      </c>
    </row>
    <row r="46" spans="2:4" x14ac:dyDescent="0.25">
      <c r="B46" s="36" t="s">
        <v>18</v>
      </c>
      <c r="C46" s="39">
        <f>INDEX(tblDespesa[[#All],[JANEIRO]:[DEZEMBRO]],$A17,$C$30)</f>
        <v>0</v>
      </c>
    </row>
    <row r="47" spans="2:4" x14ac:dyDescent="0.25">
      <c r="B47" s="35" t="s">
        <v>19</v>
      </c>
      <c r="C47" s="39">
        <f>INDEX(tblDespesa[[#All],[JANEIRO]:[DEZEMBRO]],$A18,$C$30)</f>
        <v>0</v>
      </c>
    </row>
  </sheetData>
  <pageMargins left="0.7" right="0.7" top="0.75" bottom="0.75" header="0.3" footer="0.3"/>
  <pageSetup paperSize="9" scale="44" orientation="portrait" horizontalDpi="0" verticalDpi="0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latorio">
    <pageSetUpPr fitToPage="1"/>
  </sheetPr>
  <dimension ref="A1:T179"/>
  <sheetViews>
    <sheetView showGridLines="0" showRowColHeaders="0" workbookViewId="0"/>
  </sheetViews>
  <sheetFormatPr defaultRowHeight="15" x14ac:dyDescent="0.25"/>
  <cols>
    <col min="1" max="1" width="3.5703125" style="11" customWidth="1"/>
    <col min="2" max="2" width="5.85546875" style="11" customWidth="1"/>
    <col min="3" max="3" width="6.140625" style="11" customWidth="1"/>
    <col min="4" max="4" width="15.5703125" style="11" customWidth="1"/>
    <col min="5" max="5" width="5.5703125" style="11" customWidth="1"/>
    <col min="6" max="6" width="9.140625" style="11"/>
    <col min="7" max="7" width="2" style="11" customWidth="1"/>
    <col min="8" max="8" width="3.42578125" customWidth="1"/>
    <col min="9" max="9" width="9.85546875" customWidth="1"/>
    <col min="10" max="10" width="19.85546875" customWidth="1"/>
    <col min="11" max="11" width="10.7109375" customWidth="1"/>
    <col min="12" max="12" width="15.42578125" customWidth="1"/>
    <col min="13" max="13" width="7.28515625" customWidth="1"/>
    <col min="14" max="14" width="14.42578125" customWidth="1"/>
    <col min="15" max="15" width="33.7109375" customWidth="1"/>
    <col min="16" max="16" width="15.5703125" customWidth="1"/>
    <col min="17" max="17" width="5.42578125" customWidth="1"/>
    <col min="18" max="18" width="9.7109375" customWidth="1"/>
    <col min="19" max="19" width="6.140625" customWidth="1"/>
    <col min="20" max="20" width="14.140625" customWidth="1"/>
  </cols>
  <sheetData>
    <row r="1" spans="2:20" s="11" customFormat="1" ht="36.75" customHeight="1" x14ac:dyDescent="0.25">
      <c r="D1" s="101" t="s">
        <v>75</v>
      </c>
      <c r="E1" s="101"/>
      <c r="F1" s="101"/>
      <c r="G1" s="101"/>
      <c r="H1" s="101"/>
      <c r="I1" s="101"/>
    </row>
    <row r="2" spans="2:20" s="11" customFormat="1" ht="27" customHeight="1" x14ac:dyDescent="0.25">
      <c r="D2" s="101"/>
      <c r="E2" s="101"/>
      <c r="F2" s="101"/>
      <c r="G2" s="101"/>
      <c r="H2" s="101"/>
      <c r="I2" s="101"/>
    </row>
    <row r="3" spans="2:20" s="11" customFormat="1" ht="18" hidden="1" customHeight="1" x14ac:dyDescent="0.25">
      <c r="J3" s="48" t="s">
        <v>49</v>
      </c>
      <c r="K3" s="48" t="s">
        <v>22</v>
      </c>
      <c r="L3" s="48" t="s">
        <v>24</v>
      </c>
      <c r="M3" s="49" t="s">
        <v>25</v>
      </c>
      <c r="N3" s="48" t="s">
        <v>26</v>
      </c>
    </row>
    <row r="4" spans="2:20" s="11" customFormat="1" ht="17.25" hidden="1" customHeight="1" x14ac:dyDescent="0.25"/>
    <row r="5" spans="2:20" s="11" customFormat="1" ht="14.25" customHeight="1" x14ac:dyDescent="0.25"/>
    <row r="6" spans="2:20" ht="15.75" thickBot="1" x14ac:dyDescent="0.3"/>
    <row r="7" spans="2:20" ht="15.75" thickTop="1" x14ac:dyDescent="0.25">
      <c r="B7" s="46" t="s">
        <v>49</v>
      </c>
      <c r="C7" s="47"/>
      <c r="D7" s="47"/>
      <c r="I7" s="62">
        <v>0</v>
      </c>
      <c r="J7" s="55"/>
      <c r="K7" s="56" t="s">
        <v>72</v>
      </c>
      <c r="L7" s="55"/>
      <c r="M7" s="55"/>
      <c r="N7" s="55"/>
      <c r="O7" s="55"/>
      <c r="P7" s="55"/>
      <c r="Q7" s="55"/>
      <c r="R7" s="55"/>
      <c r="S7" s="55"/>
      <c r="T7" s="55"/>
    </row>
    <row r="8" spans="2:20" x14ac:dyDescent="0.25">
      <c r="B8" s="98"/>
      <c r="C8" s="98"/>
      <c r="D8" s="98"/>
      <c r="I8" s="63">
        <v>0</v>
      </c>
      <c r="K8" s="50" t="s">
        <v>73</v>
      </c>
      <c r="M8" s="100">
        <f>SUBTOTAL(9,P11:P100000)</f>
        <v>0</v>
      </c>
      <c r="N8" s="100"/>
      <c r="T8" s="51">
        <f ca="1">TODAY()</f>
        <v>42332</v>
      </c>
    </row>
    <row r="9" spans="2:20" x14ac:dyDescent="0.25">
      <c r="B9" s="46" t="s">
        <v>22</v>
      </c>
      <c r="C9" s="47"/>
      <c r="D9" s="47"/>
      <c r="I9" s="63">
        <v>0</v>
      </c>
    </row>
    <row r="10" spans="2:20" x14ac:dyDescent="0.25">
      <c r="B10" s="98"/>
      <c r="C10" s="98"/>
      <c r="D10" s="98"/>
      <c r="I10" s="52" t="s">
        <v>46</v>
      </c>
      <c r="J10" s="53" t="s">
        <v>49</v>
      </c>
      <c r="K10" s="53" t="s">
        <v>47</v>
      </c>
      <c r="L10" s="53" t="s">
        <v>45</v>
      </c>
      <c r="M10" s="53" t="s">
        <v>21</v>
      </c>
      <c r="N10" s="53" t="s">
        <v>22</v>
      </c>
      <c r="O10" s="53" t="s">
        <v>23</v>
      </c>
      <c r="P10" s="53" t="s">
        <v>28</v>
      </c>
      <c r="Q10" s="53" t="s">
        <v>24</v>
      </c>
      <c r="R10" s="54" t="s">
        <v>25</v>
      </c>
      <c r="S10" s="53" t="s">
        <v>26</v>
      </c>
      <c r="T10" s="53" t="s">
        <v>51</v>
      </c>
    </row>
    <row r="11" spans="2:20" x14ac:dyDescent="0.25">
      <c r="B11" s="46"/>
      <c r="I11" s="57"/>
      <c r="J11" s="58"/>
      <c r="K11" s="59"/>
      <c r="L11" s="59"/>
      <c r="M11" s="59"/>
      <c r="N11" s="59"/>
      <c r="O11" s="59"/>
      <c r="P11" s="60"/>
      <c r="Q11" s="59"/>
      <c r="R11" s="60"/>
      <c r="S11" s="59"/>
      <c r="T11" s="61"/>
    </row>
    <row r="12" spans="2:20" x14ac:dyDescent="0.25">
      <c r="B12" s="99"/>
      <c r="C12" s="99"/>
      <c r="D12" s="99"/>
      <c r="I12" s="57"/>
      <c r="J12" s="58"/>
      <c r="K12" s="59"/>
      <c r="L12" s="59"/>
      <c r="M12" s="59"/>
      <c r="N12" s="59"/>
      <c r="O12" s="59"/>
      <c r="P12" s="60"/>
      <c r="Q12" s="59"/>
      <c r="R12" s="60"/>
      <c r="S12" s="59"/>
      <c r="T12" s="61"/>
    </row>
    <row r="13" spans="2:20" x14ac:dyDescent="0.25">
      <c r="B13" s="46" t="s">
        <v>24</v>
      </c>
      <c r="D13" s="46" t="s">
        <v>25</v>
      </c>
      <c r="F13" s="46" t="s">
        <v>26</v>
      </c>
      <c r="I13" s="57"/>
      <c r="J13" s="58"/>
      <c r="K13" s="59"/>
      <c r="L13" s="59"/>
      <c r="M13" s="59"/>
      <c r="N13" s="59"/>
      <c r="O13" s="59"/>
      <c r="P13" s="60"/>
      <c r="Q13" s="59"/>
      <c r="R13" s="60"/>
      <c r="S13" s="59"/>
      <c r="T13" s="61"/>
    </row>
    <row r="14" spans="2:20" x14ac:dyDescent="0.25">
      <c r="B14" s="45"/>
      <c r="D14" s="45"/>
      <c r="F14" s="45"/>
      <c r="I14" s="57"/>
      <c r="J14" s="58"/>
      <c r="K14" s="59"/>
      <c r="L14" s="59"/>
      <c r="M14" s="59"/>
      <c r="N14" s="59"/>
      <c r="O14" s="59"/>
      <c r="P14" s="60"/>
      <c r="Q14" s="59"/>
      <c r="R14" s="60"/>
      <c r="S14" s="59"/>
      <c r="T14" s="61"/>
    </row>
    <row r="15" spans="2:20" x14ac:dyDescent="0.25">
      <c r="I15" s="57"/>
      <c r="J15" s="58"/>
      <c r="K15" s="59"/>
      <c r="L15" s="59"/>
      <c r="M15" s="59"/>
      <c r="N15" s="59"/>
      <c r="O15" s="59"/>
      <c r="P15" s="60"/>
      <c r="Q15" s="59"/>
      <c r="R15" s="60"/>
      <c r="S15" s="59"/>
      <c r="T15" s="61"/>
    </row>
    <row r="16" spans="2:20" x14ac:dyDescent="0.25">
      <c r="I16" s="57"/>
      <c r="J16" s="58"/>
      <c r="K16" s="59"/>
      <c r="L16" s="59"/>
      <c r="M16" s="59"/>
      <c r="N16" s="59"/>
      <c r="O16" s="59"/>
      <c r="P16" s="60"/>
      <c r="Q16" s="59"/>
      <c r="R16" s="60"/>
      <c r="S16" s="59"/>
      <c r="T16" s="61"/>
    </row>
    <row r="17" spans="9:20" x14ac:dyDescent="0.25">
      <c r="I17" s="57"/>
      <c r="J17" s="58"/>
      <c r="K17" s="59"/>
      <c r="L17" s="59"/>
      <c r="M17" s="59"/>
      <c r="N17" s="59"/>
      <c r="O17" s="59"/>
      <c r="P17" s="60"/>
      <c r="Q17" s="59"/>
      <c r="R17" s="60"/>
      <c r="S17" s="59"/>
      <c r="T17" s="61"/>
    </row>
    <row r="18" spans="9:20" x14ac:dyDescent="0.25">
      <c r="I18" s="57"/>
      <c r="J18" s="58"/>
      <c r="K18" s="59"/>
      <c r="L18" s="59"/>
      <c r="M18" s="59"/>
      <c r="N18" s="59"/>
      <c r="O18" s="59"/>
      <c r="P18" s="60"/>
      <c r="Q18" s="59"/>
      <c r="R18" s="60"/>
      <c r="S18" s="59"/>
      <c r="T18" s="61"/>
    </row>
    <row r="19" spans="9:20" x14ac:dyDescent="0.25">
      <c r="I19" s="57"/>
      <c r="J19" s="58"/>
      <c r="K19" s="59"/>
      <c r="L19" s="59"/>
      <c r="M19" s="59"/>
      <c r="N19" s="59"/>
      <c r="O19" s="59"/>
      <c r="P19" s="60"/>
      <c r="Q19" s="59"/>
      <c r="R19" s="60"/>
      <c r="S19" s="59"/>
      <c r="T19" s="61"/>
    </row>
    <row r="20" spans="9:20" x14ac:dyDescent="0.25">
      <c r="I20" s="57"/>
      <c r="J20" s="58"/>
      <c r="K20" s="59"/>
      <c r="L20" s="59"/>
      <c r="M20" s="59"/>
      <c r="N20" s="59"/>
      <c r="O20" s="59"/>
      <c r="P20" s="60"/>
      <c r="Q20" s="59"/>
      <c r="R20" s="60"/>
      <c r="S20" s="59"/>
      <c r="T20" s="61"/>
    </row>
    <row r="21" spans="9:20" x14ac:dyDescent="0.25">
      <c r="I21" s="57"/>
      <c r="J21" s="58"/>
      <c r="K21" s="59"/>
      <c r="L21" s="59"/>
      <c r="M21" s="59"/>
      <c r="N21" s="59"/>
      <c r="O21" s="59"/>
      <c r="P21" s="60"/>
      <c r="Q21" s="59"/>
      <c r="R21" s="60"/>
      <c r="S21" s="59"/>
      <c r="T21" s="61"/>
    </row>
    <row r="22" spans="9:20" x14ac:dyDescent="0.25">
      <c r="I22" s="57"/>
      <c r="J22" s="58"/>
      <c r="K22" s="59"/>
      <c r="L22" s="59"/>
      <c r="M22" s="59"/>
      <c r="N22" s="59"/>
      <c r="O22" s="59"/>
      <c r="P22" s="60"/>
      <c r="Q22" s="59"/>
      <c r="R22" s="60"/>
      <c r="S22" s="59"/>
      <c r="T22" s="61"/>
    </row>
    <row r="23" spans="9:20" x14ac:dyDescent="0.25">
      <c r="I23" s="57"/>
      <c r="J23" s="58"/>
      <c r="K23" s="59"/>
      <c r="L23" s="59"/>
      <c r="M23" s="59"/>
      <c r="N23" s="59"/>
      <c r="O23" s="59"/>
      <c r="P23" s="60"/>
      <c r="Q23" s="59"/>
      <c r="R23" s="60"/>
      <c r="S23" s="59"/>
      <c r="T23" s="61"/>
    </row>
    <row r="24" spans="9:20" x14ac:dyDescent="0.25">
      <c r="I24" s="57"/>
      <c r="J24" s="58"/>
      <c r="K24" s="59"/>
      <c r="L24" s="59"/>
      <c r="M24" s="59"/>
      <c r="N24" s="59"/>
      <c r="O24" s="59"/>
      <c r="P24" s="60"/>
      <c r="Q24" s="59"/>
      <c r="R24" s="60"/>
      <c r="S24" s="59"/>
      <c r="T24" s="61"/>
    </row>
    <row r="25" spans="9:20" x14ac:dyDescent="0.25">
      <c r="I25" s="57"/>
      <c r="J25" s="58"/>
      <c r="K25" s="59"/>
      <c r="L25" s="59"/>
      <c r="M25" s="59"/>
      <c r="N25" s="59"/>
      <c r="O25" s="59"/>
      <c r="P25" s="60"/>
      <c r="Q25" s="59"/>
      <c r="R25" s="60"/>
      <c r="S25" s="59"/>
      <c r="T25" s="61"/>
    </row>
    <row r="26" spans="9:20" x14ac:dyDescent="0.25">
      <c r="I26" s="57"/>
      <c r="J26" s="58"/>
      <c r="K26" s="59"/>
      <c r="L26" s="59"/>
      <c r="M26" s="59"/>
      <c r="N26" s="59"/>
      <c r="O26" s="59"/>
      <c r="P26" s="60"/>
      <c r="Q26" s="59"/>
      <c r="R26" s="60"/>
      <c r="S26" s="59"/>
      <c r="T26" s="61"/>
    </row>
    <row r="27" spans="9:20" x14ac:dyDescent="0.25">
      <c r="I27" s="57"/>
      <c r="J27" s="58"/>
      <c r="K27" s="59"/>
      <c r="L27" s="59"/>
      <c r="M27" s="59"/>
      <c r="N27" s="59"/>
      <c r="O27" s="59"/>
      <c r="P27" s="60"/>
      <c r="Q27" s="59"/>
      <c r="R27" s="60"/>
      <c r="S27" s="59"/>
      <c r="T27" s="61"/>
    </row>
    <row r="28" spans="9:20" x14ac:dyDescent="0.25">
      <c r="I28" s="57"/>
      <c r="J28" s="58"/>
      <c r="K28" s="59"/>
      <c r="L28" s="59"/>
      <c r="M28" s="59"/>
      <c r="N28" s="59"/>
      <c r="O28" s="59"/>
      <c r="P28" s="60"/>
      <c r="Q28" s="59"/>
      <c r="R28" s="60"/>
      <c r="S28" s="59"/>
      <c r="T28" s="61"/>
    </row>
    <row r="29" spans="9:20" x14ac:dyDescent="0.25">
      <c r="I29" s="57"/>
      <c r="J29" s="58"/>
      <c r="K29" s="59"/>
      <c r="L29" s="59"/>
      <c r="M29" s="59"/>
      <c r="N29" s="59"/>
      <c r="O29" s="59"/>
      <c r="P29" s="60"/>
      <c r="Q29" s="59"/>
      <c r="R29" s="60"/>
      <c r="S29" s="59"/>
      <c r="T29" s="61"/>
    </row>
    <row r="30" spans="9:20" x14ac:dyDescent="0.25">
      <c r="I30" s="57"/>
      <c r="J30" s="58"/>
      <c r="K30" s="59"/>
      <c r="L30" s="59"/>
      <c r="M30" s="59"/>
      <c r="N30" s="59"/>
      <c r="O30" s="59"/>
      <c r="P30" s="60"/>
      <c r="Q30" s="59"/>
      <c r="R30" s="60"/>
      <c r="S30" s="59"/>
      <c r="T30" s="61"/>
    </row>
    <row r="31" spans="9:20" x14ac:dyDescent="0.25">
      <c r="I31" s="57"/>
      <c r="J31" s="58"/>
      <c r="K31" s="59"/>
      <c r="L31" s="59"/>
      <c r="M31" s="59"/>
      <c r="N31" s="59"/>
      <c r="O31" s="59"/>
      <c r="P31" s="60"/>
      <c r="Q31" s="59"/>
      <c r="R31" s="60"/>
      <c r="S31" s="59"/>
      <c r="T31" s="61"/>
    </row>
    <row r="32" spans="9:20" x14ac:dyDescent="0.25">
      <c r="I32" s="57"/>
      <c r="J32" s="58"/>
      <c r="K32" s="59"/>
      <c r="L32" s="59"/>
      <c r="M32" s="59"/>
      <c r="N32" s="59"/>
      <c r="O32" s="59"/>
      <c r="P32" s="60"/>
      <c r="Q32" s="59"/>
      <c r="R32" s="60"/>
      <c r="S32" s="59"/>
      <c r="T32" s="61"/>
    </row>
    <row r="33" spans="9:20" x14ac:dyDescent="0.25">
      <c r="I33" s="57"/>
      <c r="J33" s="58"/>
      <c r="K33" s="59"/>
      <c r="L33" s="59"/>
      <c r="M33" s="59"/>
      <c r="N33" s="59"/>
      <c r="O33" s="59"/>
      <c r="P33" s="60"/>
      <c r="Q33" s="59"/>
      <c r="R33" s="60"/>
      <c r="S33" s="59"/>
      <c r="T33" s="61"/>
    </row>
    <row r="34" spans="9:20" x14ac:dyDescent="0.25">
      <c r="I34" s="57"/>
      <c r="J34" s="58"/>
      <c r="K34" s="59"/>
      <c r="L34" s="59"/>
      <c r="M34" s="59"/>
      <c r="N34" s="59"/>
      <c r="O34" s="59"/>
      <c r="P34" s="60"/>
      <c r="Q34" s="59"/>
      <c r="R34" s="60"/>
      <c r="S34" s="59"/>
      <c r="T34" s="61"/>
    </row>
    <row r="35" spans="9:20" x14ac:dyDescent="0.25">
      <c r="I35" s="57"/>
      <c r="J35" s="58"/>
      <c r="K35" s="59"/>
      <c r="L35" s="59"/>
      <c r="M35" s="59"/>
      <c r="N35" s="59"/>
      <c r="O35" s="59"/>
      <c r="P35" s="60"/>
      <c r="Q35" s="59"/>
      <c r="R35" s="60"/>
      <c r="S35" s="59"/>
      <c r="T35" s="61"/>
    </row>
    <row r="36" spans="9:20" x14ac:dyDescent="0.25">
      <c r="I36" s="57"/>
      <c r="J36" s="58"/>
      <c r="K36" s="59"/>
      <c r="L36" s="59"/>
      <c r="M36" s="59"/>
      <c r="N36" s="59"/>
      <c r="O36" s="59"/>
      <c r="P36" s="60"/>
      <c r="Q36" s="59"/>
      <c r="R36" s="60"/>
      <c r="S36" s="59"/>
      <c r="T36" s="61"/>
    </row>
    <row r="37" spans="9:20" x14ac:dyDescent="0.25">
      <c r="I37" s="57"/>
      <c r="J37" s="58"/>
      <c r="K37" s="59"/>
      <c r="L37" s="59"/>
      <c r="M37" s="59"/>
      <c r="N37" s="59"/>
      <c r="O37" s="59"/>
      <c r="P37" s="60"/>
      <c r="Q37" s="59"/>
      <c r="R37" s="60"/>
      <c r="S37" s="59"/>
      <c r="T37" s="61"/>
    </row>
    <row r="38" spans="9:20" x14ac:dyDescent="0.25">
      <c r="I38" s="57"/>
      <c r="J38" s="58"/>
      <c r="K38" s="59"/>
      <c r="L38" s="59"/>
      <c r="M38" s="59"/>
      <c r="N38" s="59"/>
      <c r="O38" s="59"/>
      <c r="P38" s="60"/>
      <c r="Q38" s="59"/>
      <c r="R38" s="60"/>
      <c r="S38" s="59"/>
      <c r="T38" s="61"/>
    </row>
    <row r="39" spans="9:20" x14ac:dyDescent="0.25">
      <c r="I39" s="57"/>
      <c r="J39" s="58"/>
      <c r="K39" s="59"/>
      <c r="L39" s="59"/>
      <c r="M39" s="59"/>
      <c r="N39" s="59"/>
      <c r="O39" s="59"/>
      <c r="P39" s="60"/>
      <c r="Q39" s="59"/>
      <c r="R39" s="60"/>
      <c r="S39" s="59"/>
      <c r="T39" s="61"/>
    </row>
    <row r="40" spans="9:20" x14ac:dyDescent="0.25">
      <c r="I40" s="57"/>
      <c r="J40" s="58"/>
      <c r="K40" s="59"/>
      <c r="L40" s="59"/>
      <c r="M40" s="59"/>
      <c r="N40" s="59"/>
      <c r="O40" s="59"/>
      <c r="P40" s="60"/>
      <c r="Q40" s="59"/>
      <c r="R40" s="60"/>
      <c r="S40" s="59"/>
      <c r="T40" s="61"/>
    </row>
    <row r="41" spans="9:20" x14ac:dyDescent="0.25">
      <c r="I41" s="57"/>
      <c r="J41" s="58"/>
      <c r="K41" s="59"/>
      <c r="L41" s="59"/>
      <c r="M41" s="59"/>
      <c r="N41" s="59"/>
      <c r="O41" s="59"/>
      <c r="P41" s="60"/>
      <c r="Q41" s="59"/>
      <c r="R41" s="60"/>
      <c r="S41" s="59"/>
      <c r="T41" s="61"/>
    </row>
    <row r="42" spans="9:20" x14ac:dyDescent="0.25">
      <c r="I42" s="57"/>
      <c r="J42" s="58"/>
      <c r="K42" s="59"/>
      <c r="L42" s="59"/>
      <c r="M42" s="59"/>
      <c r="N42" s="59"/>
      <c r="O42" s="59"/>
      <c r="P42" s="60"/>
      <c r="Q42" s="59"/>
      <c r="R42" s="60"/>
      <c r="S42" s="59"/>
      <c r="T42" s="61"/>
    </row>
    <row r="43" spans="9:20" x14ac:dyDescent="0.25">
      <c r="I43" s="57"/>
      <c r="J43" s="58"/>
      <c r="K43" s="59"/>
      <c r="L43" s="59"/>
      <c r="M43" s="59"/>
      <c r="N43" s="59"/>
      <c r="O43" s="59"/>
      <c r="P43" s="60"/>
      <c r="Q43" s="59"/>
      <c r="R43" s="60"/>
      <c r="S43" s="59"/>
      <c r="T43" s="61"/>
    </row>
    <row r="44" spans="9:20" x14ac:dyDescent="0.25">
      <c r="I44" s="57"/>
      <c r="J44" s="58"/>
      <c r="K44" s="59"/>
      <c r="L44" s="59"/>
      <c r="M44" s="59"/>
      <c r="N44" s="59"/>
      <c r="O44" s="59"/>
      <c r="P44" s="60"/>
      <c r="Q44" s="59"/>
      <c r="R44" s="60"/>
      <c r="S44" s="59"/>
      <c r="T44" s="61"/>
    </row>
    <row r="45" spans="9:20" x14ac:dyDescent="0.25">
      <c r="I45" s="57"/>
      <c r="J45" s="58"/>
      <c r="K45" s="59"/>
      <c r="L45" s="59"/>
      <c r="M45" s="59"/>
      <c r="N45" s="59"/>
      <c r="O45" s="59"/>
      <c r="P45" s="60"/>
      <c r="Q45" s="59"/>
      <c r="R45" s="60"/>
      <c r="S45" s="59"/>
      <c r="T45" s="61"/>
    </row>
    <row r="46" spans="9:20" x14ac:dyDescent="0.25">
      <c r="I46" s="57"/>
      <c r="J46" s="58"/>
      <c r="K46" s="59"/>
      <c r="L46" s="59"/>
      <c r="M46" s="59"/>
      <c r="N46" s="59"/>
      <c r="O46" s="59"/>
      <c r="P46" s="60"/>
      <c r="Q46" s="59"/>
      <c r="R46" s="60"/>
      <c r="S46" s="59"/>
      <c r="T46" s="61"/>
    </row>
    <row r="47" spans="9:20" x14ac:dyDescent="0.25">
      <c r="I47" s="57"/>
      <c r="J47" s="58"/>
      <c r="K47" s="59"/>
      <c r="L47" s="59"/>
      <c r="M47" s="59"/>
      <c r="N47" s="59"/>
      <c r="O47" s="59"/>
      <c r="P47" s="60"/>
      <c r="Q47" s="59"/>
      <c r="R47" s="60"/>
      <c r="S47" s="59"/>
      <c r="T47" s="61"/>
    </row>
    <row r="48" spans="9:20" x14ac:dyDescent="0.25">
      <c r="I48" s="57"/>
      <c r="J48" s="58"/>
      <c r="K48" s="59"/>
      <c r="L48" s="59"/>
      <c r="M48" s="59"/>
      <c r="N48" s="59"/>
      <c r="O48" s="59"/>
      <c r="P48" s="60"/>
      <c r="Q48" s="59"/>
      <c r="R48" s="60"/>
      <c r="S48" s="59"/>
      <c r="T48" s="61"/>
    </row>
    <row r="49" spans="9:20" x14ac:dyDescent="0.25">
      <c r="I49" s="57"/>
      <c r="J49" s="58"/>
      <c r="K49" s="59"/>
      <c r="L49" s="59"/>
      <c r="M49" s="59"/>
      <c r="N49" s="59"/>
      <c r="O49" s="59"/>
      <c r="P49" s="60"/>
      <c r="Q49" s="59"/>
      <c r="R49" s="60"/>
      <c r="S49" s="59"/>
      <c r="T49" s="61"/>
    </row>
    <row r="50" spans="9:20" x14ac:dyDescent="0.25">
      <c r="I50" s="57"/>
      <c r="J50" s="58"/>
      <c r="K50" s="59"/>
      <c r="L50" s="59"/>
      <c r="M50" s="59"/>
      <c r="N50" s="59"/>
      <c r="O50" s="59"/>
      <c r="P50" s="60"/>
      <c r="Q50" s="59"/>
      <c r="R50" s="60"/>
      <c r="S50" s="59"/>
      <c r="T50" s="61"/>
    </row>
    <row r="51" spans="9:20" x14ac:dyDescent="0.25">
      <c r="I51" s="57"/>
      <c r="J51" s="58"/>
      <c r="K51" s="59"/>
      <c r="L51" s="59"/>
      <c r="M51" s="59"/>
      <c r="N51" s="59"/>
      <c r="O51" s="59"/>
      <c r="P51" s="60"/>
      <c r="Q51" s="59"/>
      <c r="R51" s="60"/>
      <c r="S51" s="59"/>
      <c r="T51" s="61"/>
    </row>
    <row r="52" spans="9:20" x14ac:dyDescent="0.25">
      <c r="I52" s="57"/>
      <c r="J52" s="58"/>
      <c r="K52" s="59"/>
      <c r="L52" s="59"/>
      <c r="M52" s="59"/>
      <c r="N52" s="59"/>
      <c r="O52" s="59"/>
      <c r="P52" s="60"/>
      <c r="Q52" s="59"/>
      <c r="R52" s="60"/>
      <c r="S52" s="59"/>
      <c r="T52" s="61"/>
    </row>
    <row r="53" spans="9:20" x14ac:dyDescent="0.25">
      <c r="I53" s="57"/>
      <c r="J53" s="58"/>
      <c r="K53" s="59"/>
      <c r="L53" s="59"/>
      <c r="M53" s="59"/>
      <c r="N53" s="59"/>
      <c r="O53" s="59"/>
      <c r="P53" s="60"/>
      <c r="Q53" s="59"/>
      <c r="R53" s="60"/>
      <c r="S53" s="59"/>
      <c r="T53" s="61"/>
    </row>
    <row r="54" spans="9:20" x14ac:dyDescent="0.25">
      <c r="I54" s="57"/>
      <c r="J54" s="58"/>
      <c r="K54" s="59"/>
      <c r="L54" s="59"/>
      <c r="M54" s="59"/>
      <c r="N54" s="59"/>
      <c r="O54" s="59"/>
      <c r="P54" s="60"/>
      <c r="Q54" s="59"/>
      <c r="R54" s="60"/>
      <c r="S54" s="59"/>
      <c r="T54" s="61"/>
    </row>
    <row r="55" spans="9:20" x14ac:dyDescent="0.25">
      <c r="I55" s="57"/>
      <c r="J55" s="58"/>
      <c r="K55" s="59"/>
      <c r="L55" s="59"/>
      <c r="M55" s="59"/>
      <c r="N55" s="59"/>
      <c r="O55" s="59"/>
      <c r="P55" s="60"/>
      <c r="Q55" s="59"/>
      <c r="R55" s="60"/>
      <c r="S55" s="59"/>
      <c r="T55" s="61"/>
    </row>
    <row r="56" spans="9:20" x14ac:dyDescent="0.25">
      <c r="I56" s="57"/>
      <c r="J56" s="58"/>
      <c r="K56" s="59"/>
      <c r="L56" s="59"/>
      <c r="M56" s="59"/>
      <c r="N56" s="59"/>
      <c r="O56" s="59"/>
      <c r="P56" s="60"/>
      <c r="Q56" s="59"/>
      <c r="R56" s="60"/>
      <c r="S56" s="59"/>
      <c r="T56" s="61"/>
    </row>
    <row r="57" spans="9:20" x14ac:dyDescent="0.25">
      <c r="I57" s="57"/>
      <c r="J57" s="58"/>
      <c r="K57" s="59"/>
      <c r="L57" s="59"/>
      <c r="M57" s="59"/>
      <c r="N57" s="59"/>
      <c r="O57" s="59"/>
      <c r="P57" s="60"/>
      <c r="Q57" s="59"/>
      <c r="R57" s="60"/>
      <c r="S57" s="59"/>
      <c r="T57" s="61"/>
    </row>
    <row r="58" spans="9:20" x14ac:dyDescent="0.25">
      <c r="I58" s="57"/>
      <c r="J58" s="58"/>
      <c r="K58" s="59"/>
      <c r="L58" s="59"/>
      <c r="M58" s="59"/>
      <c r="N58" s="59"/>
      <c r="O58" s="59"/>
      <c r="P58" s="60"/>
      <c r="Q58" s="59"/>
      <c r="R58" s="60"/>
      <c r="S58" s="59"/>
      <c r="T58" s="61"/>
    </row>
    <row r="59" spans="9:20" x14ac:dyDescent="0.25">
      <c r="I59" s="57"/>
      <c r="J59" s="58"/>
      <c r="K59" s="59"/>
      <c r="L59" s="59"/>
      <c r="M59" s="59"/>
      <c r="N59" s="59"/>
      <c r="O59" s="59"/>
      <c r="P59" s="60"/>
      <c r="Q59" s="59"/>
      <c r="R59" s="60"/>
      <c r="S59" s="59"/>
      <c r="T59" s="61"/>
    </row>
    <row r="60" spans="9:20" x14ac:dyDescent="0.25">
      <c r="I60" s="57"/>
      <c r="J60" s="58"/>
      <c r="K60" s="59"/>
      <c r="L60" s="59"/>
      <c r="M60" s="59"/>
      <c r="N60" s="59"/>
      <c r="O60" s="59"/>
      <c r="P60" s="60"/>
      <c r="Q60" s="59"/>
      <c r="R60" s="60"/>
      <c r="S60" s="59"/>
      <c r="T60" s="61"/>
    </row>
    <row r="61" spans="9:20" x14ac:dyDescent="0.25">
      <c r="I61" s="57"/>
      <c r="J61" s="58"/>
      <c r="K61" s="59"/>
      <c r="L61" s="59"/>
      <c r="M61" s="59"/>
      <c r="N61" s="59"/>
      <c r="O61" s="59"/>
      <c r="P61" s="60"/>
      <c r="Q61" s="59"/>
      <c r="R61" s="60"/>
      <c r="S61" s="59"/>
      <c r="T61" s="61"/>
    </row>
    <row r="62" spans="9:20" x14ac:dyDescent="0.25">
      <c r="I62" s="57"/>
      <c r="J62" s="58"/>
      <c r="K62" s="59"/>
      <c r="L62" s="59"/>
      <c r="M62" s="59"/>
      <c r="N62" s="59"/>
      <c r="O62" s="59"/>
      <c r="P62" s="60"/>
      <c r="Q62" s="59"/>
      <c r="R62" s="60"/>
      <c r="S62" s="59"/>
      <c r="T62" s="61"/>
    </row>
    <row r="63" spans="9:20" x14ac:dyDescent="0.25">
      <c r="I63" s="57"/>
      <c r="J63" s="58"/>
      <c r="K63" s="59"/>
      <c r="L63" s="59"/>
      <c r="M63" s="59"/>
      <c r="N63" s="59"/>
      <c r="O63" s="59"/>
      <c r="P63" s="60"/>
      <c r="Q63" s="59"/>
      <c r="R63" s="60"/>
      <c r="S63" s="59"/>
      <c r="T63" s="61"/>
    </row>
    <row r="64" spans="9:20" x14ac:dyDescent="0.25">
      <c r="I64" s="57"/>
      <c r="J64" s="58"/>
      <c r="K64" s="59"/>
      <c r="L64" s="59"/>
      <c r="M64" s="59"/>
      <c r="N64" s="59"/>
      <c r="O64" s="59"/>
      <c r="P64" s="60"/>
      <c r="Q64" s="59"/>
      <c r="R64" s="60"/>
      <c r="S64" s="59"/>
      <c r="T64" s="61"/>
    </row>
    <row r="65" spans="9:20" x14ac:dyDescent="0.25">
      <c r="I65" s="57"/>
      <c r="J65" s="58"/>
      <c r="K65" s="59"/>
      <c r="L65" s="59"/>
      <c r="M65" s="59"/>
      <c r="N65" s="59"/>
      <c r="O65" s="59"/>
      <c r="P65" s="60"/>
      <c r="Q65" s="59"/>
      <c r="R65" s="60"/>
      <c r="S65" s="59"/>
      <c r="T65" s="61"/>
    </row>
    <row r="66" spans="9:20" x14ac:dyDescent="0.25">
      <c r="I66" s="57"/>
      <c r="J66" s="58"/>
      <c r="K66" s="59"/>
      <c r="L66" s="59"/>
      <c r="M66" s="59"/>
      <c r="N66" s="59"/>
      <c r="O66" s="59"/>
      <c r="P66" s="60"/>
      <c r="Q66" s="59"/>
      <c r="R66" s="60"/>
      <c r="S66" s="59"/>
      <c r="T66" s="61"/>
    </row>
    <row r="67" spans="9:20" x14ac:dyDescent="0.25">
      <c r="I67" s="57"/>
      <c r="J67" s="58"/>
      <c r="K67" s="59"/>
      <c r="L67" s="59"/>
      <c r="M67" s="59"/>
      <c r="N67" s="59"/>
      <c r="O67" s="59"/>
      <c r="P67" s="60"/>
      <c r="Q67" s="59"/>
      <c r="R67" s="60"/>
      <c r="S67" s="59"/>
      <c r="T67" s="61"/>
    </row>
    <row r="68" spans="9:20" x14ac:dyDescent="0.25">
      <c r="I68" s="57"/>
      <c r="J68" s="58"/>
      <c r="K68" s="59"/>
      <c r="L68" s="59"/>
      <c r="M68" s="59"/>
      <c r="N68" s="59"/>
      <c r="O68" s="59"/>
      <c r="P68" s="60"/>
      <c r="Q68" s="59"/>
      <c r="R68" s="60"/>
      <c r="S68" s="59"/>
      <c r="T68" s="61"/>
    </row>
    <row r="69" spans="9:20" x14ac:dyDescent="0.25">
      <c r="I69" s="57"/>
      <c r="J69" s="58"/>
      <c r="K69" s="59"/>
      <c r="L69" s="59"/>
      <c r="M69" s="59"/>
      <c r="N69" s="59"/>
      <c r="O69" s="59"/>
      <c r="P69" s="60"/>
      <c r="Q69" s="59"/>
      <c r="R69" s="60"/>
      <c r="S69" s="59"/>
      <c r="T69" s="61"/>
    </row>
    <row r="70" spans="9:20" x14ac:dyDescent="0.25">
      <c r="I70" s="57"/>
      <c r="J70" s="58"/>
      <c r="K70" s="59"/>
      <c r="L70" s="59"/>
      <c r="M70" s="59"/>
      <c r="N70" s="59"/>
      <c r="O70" s="59"/>
      <c r="P70" s="60"/>
      <c r="Q70" s="59"/>
      <c r="R70" s="60"/>
      <c r="S70" s="59"/>
      <c r="T70" s="61"/>
    </row>
    <row r="71" spans="9:20" x14ac:dyDescent="0.25">
      <c r="I71" s="57"/>
      <c r="J71" s="58"/>
      <c r="K71" s="59"/>
      <c r="L71" s="59"/>
      <c r="M71" s="59"/>
      <c r="N71" s="59"/>
      <c r="O71" s="59"/>
      <c r="P71" s="60"/>
      <c r="Q71" s="59"/>
      <c r="R71" s="60"/>
      <c r="S71" s="59"/>
      <c r="T71" s="61"/>
    </row>
    <row r="72" spans="9:20" x14ac:dyDescent="0.25">
      <c r="I72" s="57"/>
      <c r="J72" s="58"/>
      <c r="K72" s="59"/>
      <c r="L72" s="59"/>
      <c r="M72" s="59"/>
      <c r="N72" s="59"/>
      <c r="O72" s="59"/>
      <c r="P72" s="60"/>
      <c r="Q72" s="59"/>
      <c r="R72" s="60"/>
      <c r="S72" s="59"/>
      <c r="T72" s="61"/>
    </row>
    <row r="73" spans="9:20" x14ac:dyDescent="0.25">
      <c r="I73" s="57"/>
      <c r="J73" s="58"/>
      <c r="K73" s="59"/>
      <c r="L73" s="59"/>
      <c r="M73" s="59"/>
      <c r="N73" s="59"/>
      <c r="O73" s="59"/>
      <c r="P73" s="60"/>
      <c r="Q73" s="59"/>
      <c r="R73" s="60"/>
      <c r="S73" s="59"/>
      <c r="T73" s="61"/>
    </row>
    <row r="74" spans="9:20" x14ac:dyDescent="0.25">
      <c r="I74" s="57"/>
      <c r="J74" s="58"/>
      <c r="K74" s="59"/>
      <c r="L74" s="59"/>
      <c r="M74" s="59"/>
      <c r="N74" s="59"/>
      <c r="O74" s="59"/>
      <c r="P74" s="60"/>
      <c r="Q74" s="59"/>
      <c r="R74" s="60"/>
      <c r="S74" s="59"/>
      <c r="T74" s="61"/>
    </row>
    <row r="75" spans="9:20" x14ac:dyDescent="0.25">
      <c r="I75" s="57"/>
      <c r="J75" s="58"/>
      <c r="K75" s="59"/>
      <c r="L75" s="59"/>
      <c r="M75" s="59"/>
      <c r="N75" s="59"/>
      <c r="O75" s="59"/>
      <c r="P75" s="60"/>
      <c r="Q75" s="59"/>
      <c r="R75" s="60"/>
      <c r="S75" s="59"/>
      <c r="T75" s="61"/>
    </row>
    <row r="76" spans="9:20" x14ac:dyDescent="0.25">
      <c r="I76" s="57"/>
      <c r="J76" s="58"/>
      <c r="K76" s="59"/>
      <c r="L76" s="59"/>
      <c r="M76" s="59"/>
      <c r="N76" s="59"/>
      <c r="O76" s="59"/>
      <c r="P76" s="60"/>
      <c r="Q76" s="59"/>
      <c r="R76" s="60"/>
      <c r="S76" s="59"/>
      <c r="T76" s="61"/>
    </row>
    <row r="77" spans="9:20" x14ac:dyDescent="0.25">
      <c r="I77" s="57"/>
      <c r="J77" s="58"/>
      <c r="K77" s="59"/>
      <c r="L77" s="59"/>
      <c r="M77" s="59"/>
      <c r="N77" s="59"/>
      <c r="O77" s="59"/>
      <c r="P77" s="60"/>
      <c r="Q77" s="59"/>
      <c r="R77" s="60"/>
      <c r="S77" s="59"/>
      <c r="T77" s="61"/>
    </row>
    <row r="78" spans="9:20" x14ac:dyDescent="0.25">
      <c r="I78" s="57"/>
      <c r="J78" s="58"/>
      <c r="K78" s="59"/>
      <c r="L78" s="59"/>
      <c r="M78" s="59"/>
      <c r="N78" s="59"/>
      <c r="O78" s="59"/>
      <c r="P78" s="60"/>
      <c r="Q78" s="59"/>
      <c r="R78" s="60"/>
      <c r="S78" s="59"/>
      <c r="T78" s="61"/>
    </row>
    <row r="79" spans="9:20" x14ac:dyDescent="0.25">
      <c r="I79" s="57"/>
      <c r="J79" s="58"/>
      <c r="K79" s="59"/>
      <c r="L79" s="59"/>
      <c r="M79" s="59"/>
      <c r="N79" s="59"/>
      <c r="O79" s="59"/>
      <c r="P79" s="60"/>
      <c r="Q79" s="59"/>
      <c r="R79" s="60"/>
      <c r="S79" s="59"/>
      <c r="T79" s="61"/>
    </row>
    <row r="80" spans="9:20" x14ac:dyDescent="0.25">
      <c r="I80" s="57"/>
      <c r="J80" s="58"/>
      <c r="K80" s="59"/>
      <c r="L80" s="59"/>
      <c r="M80" s="59"/>
      <c r="N80" s="59"/>
      <c r="O80" s="59"/>
      <c r="P80" s="60"/>
      <c r="Q80" s="59"/>
      <c r="R80" s="60"/>
      <c r="S80" s="59"/>
      <c r="T80" s="61"/>
    </row>
    <row r="81" spans="9:20" x14ac:dyDescent="0.25">
      <c r="I81" s="57"/>
      <c r="J81" s="58"/>
      <c r="K81" s="59"/>
      <c r="L81" s="59"/>
      <c r="M81" s="59"/>
      <c r="N81" s="59"/>
      <c r="O81" s="59"/>
      <c r="P81" s="60"/>
      <c r="Q81" s="59"/>
      <c r="R81" s="60"/>
      <c r="S81" s="59"/>
      <c r="T81" s="61"/>
    </row>
    <row r="82" spans="9:20" x14ac:dyDescent="0.25">
      <c r="I82" s="57"/>
      <c r="J82" s="58"/>
      <c r="K82" s="59"/>
      <c r="L82" s="59"/>
      <c r="M82" s="59"/>
      <c r="N82" s="59"/>
      <c r="O82" s="59"/>
      <c r="P82" s="60"/>
      <c r="Q82" s="59"/>
      <c r="R82" s="60"/>
      <c r="S82" s="59"/>
      <c r="T82" s="61"/>
    </row>
    <row r="83" spans="9:20" x14ac:dyDescent="0.25">
      <c r="I83" s="57"/>
      <c r="J83" s="58"/>
      <c r="K83" s="59"/>
      <c r="L83" s="59"/>
      <c r="M83" s="59"/>
      <c r="N83" s="59"/>
      <c r="O83" s="59"/>
      <c r="P83" s="60"/>
      <c r="Q83" s="59"/>
      <c r="R83" s="60"/>
      <c r="S83" s="59"/>
      <c r="T83" s="61"/>
    </row>
    <row r="84" spans="9:20" x14ac:dyDescent="0.25">
      <c r="I84" s="57"/>
      <c r="J84" s="58"/>
      <c r="K84" s="59"/>
      <c r="L84" s="59"/>
      <c r="M84" s="59"/>
      <c r="N84" s="59"/>
      <c r="O84" s="59"/>
      <c r="P84" s="60"/>
      <c r="Q84" s="59"/>
      <c r="R84" s="60"/>
      <c r="S84" s="59"/>
      <c r="T84" s="61"/>
    </row>
    <row r="85" spans="9:20" x14ac:dyDescent="0.25">
      <c r="I85" s="57"/>
      <c r="J85" s="58"/>
      <c r="K85" s="59"/>
      <c r="L85" s="59"/>
      <c r="M85" s="59"/>
      <c r="N85" s="59"/>
      <c r="O85" s="59"/>
      <c r="P85" s="60"/>
      <c r="Q85" s="59"/>
      <c r="R85" s="60"/>
      <c r="S85" s="59"/>
      <c r="T85" s="61"/>
    </row>
    <row r="86" spans="9:20" x14ac:dyDescent="0.25">
      <c r="I86" s="57"/>
      <c r="J86" s="58"/>
      <c r="K86" s="59"/>
      <c r="L86" s="59"/>
      <c r="M86" s="59"/>
      <c r="N86" s="59"/>
      <c r="O86" s="59"/>
      <c r="P86" s="60"/>
      <c r="Q86" s="59"/>
      <c r="R86" s="60"/>
      <c r="S86" s="59"/>
      <c r="T86" s="61"/>
    </row>
    <row r="87" spans="9:20" x14ac:dyDescent="0.25">
      <c r="I87" s="57"/>
      <c r="J87" s="58"/>
      <c r="K87" s="59"/>
      <c r="L87" s="59"/>
      <c r="M87" s="59"/>
      <c r="N87" s="59"/>
      <c r="O87" s="59"/>
      <c r="P87" s="60"/>
      <c r="Q87" s="59"/>
      <c r="R87" s="60"/>
      <c r="S87" s="59"/>
      <c r="T87" s="61"/>
    </row>
    <row r="88" spans="9:20" x14ac:dyDescent="0.25">
      <c r="I88" s="57"/>
      <c r="J88" s="58"/>
      <c r="K88" s="59"/>
      <c r="L88" s="59"/>
      <c r="M88" s="59"/>
      <c r="N88" s="59"/>
      <c r="O88" s="59"/>
      <c r="P88" s="60"/>
      <c r="Q88" s="59"/>
      <c r="R88" s="60"/>
      <c r="S88" s="59"/>
      <c r="T88" s="61"/>
    </row>
    <row r="89" spans="9:20" x14ac:dyDescent="0.25">
      <c r="I89" s="57"/>
      <c r="J89" s="58"/>
      <c r="K89" s="59"/>
      <c r="L89" s="59"/>
      <c r="M89" s="59"/>
      <c r="N89" s="59"/>
      <c r="O89" s="59"/>
      <c r="P89" s="60"/>
      <c r="Q89" s="59"/>
      <c r="R89" s="60"/>
      <c r="S89" s="59"/>
      <c r="T89" s="61"/>
    </row>
    <row r="90" spans="9:20" x14ac:dyDescent="0.25">
      <c r="I90" s="57"/>
      <c r="J90" s="58"/>
      <c r="K90" s="59"/>
      <c r="L90" s="59"/>
      <c r="M90" s="59"/>
      <c r="N90" s="59"/>
      <c r="O90" s="59"/>
      <c r="P90" s="60"/>
      <c r="Q90" s="59"/>
      <c r="R90" s="60"/>
      <c r="S90" s="59"/>
      <c r="T90" s="61"/>
    </row>
    <row r="91" spans="9:20" x14ac:dyDescent="0.25">
      <c r="I91" s="57"/>
      <c r="J91" s="58"/>
      <c r="K91" s="59"/>
      <c r="L91" s="59"/>
      <c r="M91" s="59"/>
      <c r="N91" s="59"/>
      <c r="O91" s="59"/>
      <c r="P91" s="60"/>
      <c r="Q91" s="59"/>
      <c r="R91" s="60"/>
      <c r="S91" s="59"/>
      <c r="T91" s="61"/>
    </row>
    <row r="92" spans="9:20" x14ac:dyDescent="0.25">
      <c r="I92" s="57"/>
      <c r="J92" s="58"/>
      <c r="K92" s="59"/>
      <c r="L92" s="59"/>
      <c r="M92" s="59"/>
      <c r="N92" s="59"/>
      <c r="O92" s="59"/>
      <c r="P92" s="60"/>
      <c r="Q92" s="59"/>
      <c r="R92" s="60"/>
      <c r="S92" s="59"/>
      <c r="T92" s="61"/>
    </row>
    <row r="93" spans="9:20" x14ac:dyDescent="0.25">
      <c r="I93" s="57"/>
      <c r="J93" s="58"/>
      <c r="K93" s="59"/>
      <c r="L93" s="59"/>
      <c r="M93" s="59"/>
      <c r="N93" s="59"/>
      <c r="O93" s="59"/>
      <c r="P93" s="60"/>
      <c r="Q93" s="59"/>
      <c r="R93" s="60"/>
      <c r="S93" s="59"/>
      <c r="T93" s="61"/>
    </row>
    <row r="94" spans="9:20" x14ac:dyDescent="0.25">
      <c r="I94" s="57"/>
      <c r="J94" s="58"/>
      <c r="K94" s="59"/>
      <c r="L94" s="59"/>
      <c r="M94" s="59"/>
      <c r="N94" s="59"/>
      <c r="O94" s="59"/>
      <c r="P94" s="60"/>
      <c r="Q94" s="59"/>
      <c r="R94" s="60"/>
      <c r="S94" s="59"/>
      <c r="T94" s="61"/>
    </row>
    <row r="95" spans="9:20" x14ac:dyDescent="0.25">
      <c r="I95" s="57"/>
      <c r="J95" s="58"/>
      <c r="K95" s="59"/>
      <c r="L95" s="59"/>
      <c r="M95" s="59"/>
      <c r="N95" s="59"/>
      <c r="O95" s="59"/>
      <c r="P95" s="60"/>
      <c r="Q95" s="59"/>
      <c r="R95" s="60"/>
      <c r="S95" s="59"/>
      <c r="T95" s="61"/>
    </row>
    <row r="96" spans="9:20" x14ac:dyDescent="0.25">
      <c r="I96" s="57"/>
      <c r="J96" s="58"/>
      <c r="K96" s="59"/>
      <c r="L96" s="59"/>
      <c r="M96" s="59"/>
      <c r="N96" s="59"/>
      <c r="O96" s="59"/>
      <c r="P96" s="60"/>
      <c r="Q96" s="59"/>
      <c r="R96" s="60"/>
      <c r="S96" s="59"/>
      <c r="T96" s="61"/>
    </row>
    <row r="97" spans="9:20" x14ac:dyDescent="0.25">
      <c r="I97" s="57"/>
      <c r="J97" s="58"/>
      <c r="K97" s="59"/>
      <c r="L97" s="59"/>
      <c r="M97" s="59"/>
      <c r="N97" s="59"/>
      <c r="O97" s="59"/>
      <c r="P97" s="60"/>
      <c r="Q97" s="59"/>
      <c r="R97" s="60"/>
      <c r="S97" s="59"/>
      <c r="T97" s="61"/>
    </row>
    <row r="98" spans="9:20" x14ac:dyDescent="0.25">
      <c r="I98" s="57"/>
      <c r="J98" s="58"/>
      <c r="K98" s="59"/>
      <c r="L98" s="59"/>
      <c r="M98" s="59"/>
      <c r="N98" s="59"/>
      <c r="O98" s="59"/>
      <c r="P98" s="60"/>
      <c r="Q98" s="59"/>
      <c r="R98" s="60"/>
      <c r="S98" s="59"/>
      <c r="T98" s="61"/>
    </row>
    <row r="99" spans="9:20" x14ac:dyDescent="0.25">
      <c r="I99" s="57"/>
      <c r="J99" s="58"/>
      <c r="K99" s="59"/>
      <c r="L99" s="59"/>
      <c r="M99" s="59"/>
      <c r="N99" s="59"/>
      <c r="O99" s="59"/>
      <c r="P99" s="60"/>
      <c r="Q99" s="59"/>
      <c r="R99" s="60"/>
      <c r="S99" s="59"/>
      <c r="T99" s="61"/>
    </row>
    <row r="100" spans="9:20" x14ac:dyDescent="0.25">
      <c r="I100" s="57"/>
      <c r="J100" s="58"/>
      <c r="K100" s="59"/>
      <c r="L100" s="59"/>
      <c r="M100" s="59"/>
      <c r="N100" s="59"/>
      <c r="O100" s="59"/>
      <c r="P100" s="60"/>
      <c r="Q100" s="59"/>
      <c r="R100" s="60"/>
      <c r="S100" s="59"/>
      <c r="T100" s="61"/>
    </row>
    <row r="101" spans="9:20" x14ac:dyDescent="0.25">
      <c r="I101" s="57"/>
      <c r="J101" s="58"/>
      <c r="K101" s="59"/>
      <c r="L101" s="59"/>
      <c r="M101" s="59"/>
      <c r="N101" s="59"/>
      <c r="O101" s="59"/>
      <c r="P101" s="60"/>
      <c r="Q101" s="59"/>
      <c r="R101" s="60"/>
      <c r="S101" s="59"/>
      <c r="T101" s="61"/>
    </row>
    <row r="102" spans="9:20" x14ac:dyDescent="0.25">
      <c r="I102" s="57"/>
      <c r="J102" s="58"/>
      <c r="K102" s="59"/>
      <c r="L102" s="59"/>
      <c r="M102" s="59"/>
      <c r="N102" s="59"/>
      <c r="O102" s="59"/>
      <c r="P102" s="60"/>
      <c r="Q102" s="59"/>
      <c r="R102" s="60"/>
      <c r="S102" s="59"/>
      <c r="T102" s="61"/>
    </row>
    <row r="103" spans="9:20" x14ac:dyDescent="0.25">
      <c r="I103" s="57"/>
      <c r="J103" s="58"/>
      <c r="K103" s="59"/>
      <c r="L103" s="59"/>
      <c r="M103" s="59"/>
      <c r="N103" s="59"/>
      <c r="O103" s="59"/>
      <c r="P103" s="60"/>
      <c r="Q103" s="59"/>
      <c r="R103" s="60"/>
      <c r="S103" s="59"/>
      <c r="T103" s="61"/>
    </row>
    <row r="104" spans="9:20" x14ac:dyDescent="0.25">
      <c r="I104" s="57"/>
      <c r="J104" s="58"/>
      <c r="K104" s="59"/>
      <c r="L104" s="59"/>
      <c r="M104" s="59"/>
      <c r="N104" s="59"/>
      <c r="O104" s="59"/>
      <c r="P104" s="60"/>
      <c r="Q104" s="59"/>
      <c r="R104" s="60"/>
      <c r="S104" s="59"/>
      <c r="T104" s="61"/>
    </row>
    <row r="105" spans="9:20" x14ac:dyDescent="0.25">
      <c r="I105" s="57"/>
      <c r="J105" s="58"/>
      <c r="K105" s="59"/>
      <c r="L105" s="59"/>
      <c r="M105" s="59"/>
      <c r="N105" s="59"/>
      <c r="O105" s="59"/>
      <c r="P105" s="60"/>
      <c r="Q105" s="59"/>
      <c r="R105" s="60"/>
      <c r="S105" s="59"/>
      <c r="T105" s="61"/>
    </row>
    <row r="106" spans="9:20" x14ac:dyDescent="0.25">
      <c r="I106" s="57"/>
      <c r="J106" s="58"/>
      <c r="K106" s="59"/>
      <c r="L106" s="59"/>
      <c r="M106" s="59"/>
      <c r="N106" s="59"/>
      <c r="O106" s="59"/>
      <c r="P106" s="60"/>
      <c r="Q106" s="59"/>
      <c r="R106" s="60"/>
      <c r="S106" s="59"/>
      <c r="T106" s="61"/>
    </row>
    <row r="107" spans="9:20" x14ac:dyDescent="0.25">
      <c r="I107" s="57"/>
      <c r="J107" s="58"/>
      <c r="K107" s="59"/>
      <c r="L107" s="59"/>
      <c r="M107" s="59"/>
      <c r="N107" s="59"/>
      <c r="O107" s="59"/>
      <c r="P107" s="60"/>
      <c r="Q107" s="59"/>
      <c r="R107" s="60"/>
      <c r="S107" s="59"/>
      <c r="T107" s="61"/>
    </row>
    <row r="108" spans="9:20" x14ac:dyDescent="0.25">
      <c r="I108" s="57"/>
      <c r="J108" s="58"/>
      <c r="K108" s="59"/>
      <c r="L108" s="59"/>
      <c r="M108" s="59"/>
      <c r="N108" s="59"/>
      <c r="O108" s="59"/>
      <c r="P108" s="60"/>
      <c r="Q108" s="59"/>
      <c r="R108" s="60"/>
      <c r="S108" s="59"/>
      <c r="T108" s="61"/>
    </row>
    <row r="109" spans="9:20" x14ac:dyDescent="0.25">
      <c r="I109" s="57"/>
      <c r="J109" s="58"/>
      <c r="K109" s="59"/>
      <c r="L109" s="59"/>
      <c r="M109" s="59"/>
      <c r="N109" s="59"/>
      <c r="O109" s="59"/>
      <c r="P109" s="60"/>
      <c r="Q109" s="59"/>
      <c r="R109" s="60"/>
      <c r="S109" s="59"/>
      <c r="T109" s="61"/>
    </row>
    <row r="110" spans="9:20" x14ac:dyDescent="0.25">
      <c r="I110" s="57"/>
      <c r="J110" s="58"/>
      <c r="K110" s="59"/>
      <c r="L110" s="59"/>
      <c r="M110" s="59"/>
      <c r="N110" s="59"/>
      <c r="O110" s="59"/>
      <c r="P110" s="60"/>
      <c r="Q110" s="59"/>
      <c r="R110" s="60"/>
      <c r="S110" s="59"/>
      <c r="T110" s="61"/>
    </row>
    <row r="111" spans="9:20" x14ac:dyDescent="0.25">
      <c r="I111" s="57"/>
      <c r="J111" s="58"/>
      <c r="K111" s="59"/>
      <c r="L111" s="59"/>
      <c r="M111" s="59"/>
      <c r="N111" s="59"/>
      <c r="O111" s="59"/>
      <c r="P111" s="60"/>
      <c r="Q111" s="59"/>
      <c r="R111" s="60"/>
      <c r="S111" s="59"/>
      <c r="T111" s="61"/>
    </row>
    <row r="112" spans="9:20" x14ac:dyDescent="0.25">
      <c r="I112" s="57"/>
      <c r="J112" s="58"/>
      <c r="K112" s="59"/>
      <c r="L112" s="59"/>
      <c r="M112" s="59"/>
      <c r="N112" s="59"/>
      <c r="O112" s="59"/>
      <c r="P112" s="60"/>
      <c r="Q112" s="59"/>
      <c r="R112" s="60"/>
      <c r="S112" s="59"/>
      <c r="T112" s="61"/>
    </row>
    <row r="113" spans="9:20" x14ac:dyDescent="0.25">
      <c r="I113" s="57"/>
      <c r="J113" s="58"/>
      <c r="K113" s="59"/>
      <c r="L113" s="59"/>
      <c r="M113" s="59"/>
      <c r="N113" s="59"/>
      <c r="O113" s="59"/>
      <c r="P113" s="60"/>
      <c r="Q113" s="59"/>
      <c r="R113" s="60"/>
      <c r="S113" s="59"/>
      <c r="T113" s="61"/>
    </row>
    <row r="114" spans="9:20" x14ac:dyDescent="0.25">
      <c r="I114" s="57"/>
      <c r="J114" s="58"/>
      <c r="K114" s="59"/>
      <c r="L114" s="59"/>
      <c r="M114" s="59"/>
      <c r="N114" s="59"/>
      <c r="O114" s="59"/>
      <c r="P114" s="60"/>
      <c r="Q114" s="59"/>
      <c r="R114" s="60"/>
      <c r="S114" s="59"/>
      <c r="T114" s="61"/>
    </row>
    <row r="115" spans="9:20" x14ac:dyDescent="0.25">
      <c r="I115" s="57"/>
      <c r="J115" s="58"/>
      <c r="K115" s="59"/>
      <c r="L115" s="59"/>
      <c r="M115" s="59"/>
      <c r="N115" s="59"/>
      <c r="O115" s="59"/>
      <c r="P115" s="60"/>
      <c r="Q115" s="59"/>
      <c r="R115" s="60"/>
      <c r="S115" s="59"/>
      <c r="T115" s="61"/>
    </row>
    <row r="116" spans="9:20" x14ac:dyDescent="0.25">
      <c r="I116" s="57"/>
      <c r="J116" s="58"/>
      <c r="K116" s="59"/>
      <c r="L116" s="59"/>
      <c r="M116" s="59"/>
      <c r="N116" s="59"/>
      <c r="O116" s="59"/>
      <c r="P116" s="60"/>
      <c r="Q116" s="59"/>
      <c r="R116" s="60"/>
      <c r="S116" s="59"/>
      <c r="T116" s="61"/>
    </row>
    <row r="117" spans="9:20" x14ac:dyDescent="0.25">
      <c r="I117" s="57"/>
      <c r="J117" s="58"/>
      <c r="K117" s="59"/>
      <c r="L117" s="59"/>
      <c r="M117" s="59"/>
      <c r="N117" s="59"/>
      <c r="O117" s="59"/>
      <c r="P117" s="60"/>
      <c r="Q117" s="59"/>
      <c r="R117" s="60"/>
      <c r="S117" s="59"/>
      <c r="T117" s="61"/>
    </row>
    <row r="118" spans="9:20" x14ac:dyDescent="0.25">
      <c r="I118" s="57"/>
      <c r="J118" s="58"/>
      <c r="K118" s="59"/>
      <c r="L118" s="59"/>
      <c r="M118" s="59"/>
      <c r="N118" s="59"/>
      <c r="O118" s="59"/>
      <c r="P118" s="60"/>
      <c r="Q118" s="59"/>
      <c r="R118" s="60"/>
      <c r="S118" s="59"/>
      <c r="T118" s="61"/>
    </row>
    <row r="119" spans="9:20" x14ac:dyDescent="0.25">
      <c r="I119" s="57"/>
      <c r="J119" s="58"/>
      <c r="K119" s="59"/>
      <c r="L119" s="59"/>
      <c r="M119" s="59"/>
      <c r="N119" s="59"/>
      <c r="O119" s="59"/>
      <c r="P119" s="60"/>
      <c r="Q119" s="59"/>
      <c r="R119" s="60"/>
      <c r="S119" s="59"/>
      <c r="T119" s="61"/>
    </row>
    <row r="120" spans="9:20" x14ac:dyDescent="0.25">
      <c r="I120" s="57"/>
      <c r="J120" s="58"/>
      <c r="K120" s="59"/>
      <c r="L120" s="59"/>
      <c r="M120" s="59"/>
      <c r="N120" s="59"/>
      <c r="O120" s="59"/>
      <c r="P120" s="60"/>
      <c r="Q120" s="59"/>
      <c r="R120" s="60"/>
      <c r="S120" s="59"/>
      <c r="T120" s="61"/>
    </row>
    <row r="121" spans="9:20" x14ac:dyDescent="0.25">
      <c r="I121" s="57"/>
      <c r="J121" s="58"/>
      <c r="K121" s="59"/>
      <c r="L121" s="59"/>
      <c r="M121" s="59"/>
      <c r="N121" s="59"/>
      <c r="O121" s="59"/>
      <c r="P121" s="60"/>
      <c r="Q121" s="59"/>
      <c r="R121" s="60"/>
      <c r="S121" s="59"/>
      <c r="T121" s="61"/>
    </row>
    <row r="122" spans="9:20" x14ac:dyDescent="0.25">
      <c r="I122" s="57"/>
      <c r="J122" s="58"/>
      <c r="K122" s="59"/>
      <c r="L122" s="59"/>
      <c r="M122" s="59"/>
      <c r="N122" s="59"/>
      <c r="O122" s="59"/>
      <c r="P122" s="60"/>
      <c r="Q122" s="59"/>
      <c r="R122" s="60"/>
      <c r="S122" s="59"/>
      <c r="T122" s="61"/>
    </row>
    <row r="123" spans="9:20" x14ac:dyDescent="0.25">
      <c r="I123" s="57"/>
      <c r="J123" s="58"/>
      <c r="K123" s="59"/>
      <c r="L123" s="59"/>
      <c r="M123" s="59"/>
      <c r="N123" s="59"/>
      <c r="O123" s="59"/>
      <c r="P123" s="60"/>
      <c r="Q123" s="59"/>
      <c r="R123" s="60"/>
      <c r="S123" s="59"/>
      <c r="T123" s="61"/>
    </row>
    <row r="124" spans="9:20" x14ac:dyDescent="0.25">
      <c r="I124" s="57"/>
      <c r="J124" s="58"/>
      <c r="K124" s="59"/>
      <c r="L124" s="59"/>
      <c r="M124" s="59"/>
      <c r="N124" s="59"/>
      <c r="O124" s="59"/>
      <c r="P124" s="60"/>
      <c r="Q124" s="59"/>
      <c r="R124" s="60"/>
      <c r="S124" s="59"/>
      <c r="T124" s="61"/>
    </row>
    <row r="125" spans="9:20" x14ac:dyDescent="0.25">
      <c r="I125" s="57"/>
      <c r="J125" s="58"/>
      <c r="K125" s="59"/>
      <c r="L125" s="59"/>
      <c r="M125" s="59"/>
      <c r="N125" s="59"/>
      <c r="O125" s="59"/>
      <c r="P125" s="60"/>
      <c r="Q125" s="59"/>
      <c r="R125" s="60"/>
      <c r="S125" s="59"/>
      <c r="T125" s="61"/>
    </row>
    <row r="126" spans="9:20" x14ac:dyDescent="0.25">
      <c r="I126" s="57"/>
      <c r="J126" s="58"/>
      <c r="K126" s="59"/>
      <c r="L126" s="59"/>
      <c r="M126" s="59"/>
      <c r="N126" s="59"/>
      <c r="O126" s="59"/>
      <c r="P126" s="60"/>
      <c r="Q126" s="59"/>
      <c r="R126" s="60"/>
      <c r="S126" s="59"/>
      <c r="T126" s="61"/>
    </row>
    <row r="127" spans="9:20" x14ac:dyDescent="0.25">
      <c r="I127" s="57"/>
      <c r="J127" s="58"/>
      <c r="K127" s="59"/>
      <c r="L127" s="59"/>
      <c r="M127" s="59"/>
      <c r="N127" s="59"/>
      <c r="O127" s="59"/>
      <c r="P127" s="60"/>
      <c r="Q127" s="59"/>
      <c r="R127" s="60"/>
      <c r="S127" s="59"/>
      <c r="T127" s="61"/>
    </row>
    <row r="128" spans="9:20" x14ac:dyDescent="0.25">
      <c r="I128" s="57"/>
      <c r="J128" s="58"/>
      <c r="K128" s="59"/>
      <c r="L128" s="59"/>
      <c r="M128" s="59"/>
      <c r="N128" s="59"/>
      <c r="O128" s="59"/>
      <c r="P128" s="60"/>
      <c r="Q128" s="59"/>
      <c r="R128" s="60"/>
      <c r="S128" s="59"/>
      <c r="T128" s="61"/>
    </row>
    <row r="129" spans="9:20" x14ac:dyDescent="0.25">
      <c r="I129" s="57"/>
      <c r="J129" s="58"/>
      <c r="K129" s="59"/>
      <c r="L129" s="59"/>
      <c r="M129" s="59"/>
      <c r="N129" s="59"/>
      <c r="O129" s="59"/>
      <c r="P129" s="60"/>
      <c r="Q129" s="59"/>
      <c r="R129" s="60"/>
      <c r="S129" s="59"/>
      <c r="T129" s="61"/>
    </row>
    <row r="130" spans="9:20" x14ac:dyDescent="0.25">
      <c r="I130" s="57"/>
      <c r="J130" s="58"/>
      <c r="K130" s="59"/>
      <c r="L130" s="59"/>
      <c r="M130" s="59"/>
      <c r="N130" s="59"/>
      <c r="O130" s="59"/>
      <c r="P130" s="60"/>
      <c r="Q130" s="59"/>
      <c r="R130" s="60"/>
      <c r="S130" s="59"/>
      <c r="T130" s="61"/>
    </row>
    <row r="131" spans="9:20" x14ac:dyDescent="0.25">
      <c r="I131" s="57"/>
      <c r="J131" s="58"/>
      <c r="K131" s="59"/>
      <c r="L131" s="59"/>
      <c r="M131" s="59"/>
      <c r="N131" s="59"/>
      <c r="O131" s="59"/>
      <c r="P131" s="60"/>
      <c r="Q131" s="59"/>
      <c r="R131" s="60"/>
      <c r="S131" s="59"/>
      <c r="T131" s="61"/>
    </row>
    <row r="132" spans="9:20" x14ac:dyDescent="0.25">
      <c r="I132" s="57"/>
      <c r="J132" s="58"/>
      <c r="K132" s="59"/>
      <c r="L132" s="59"/>
      <c r="M132" s="59"/>
      <c r="N132" s="59"/>
      <c r="O132" s="59"/>
      <c r="P132" s="60"/>
      <c r="Q132" s="59"/>
      <c r="R132" s="60"/>
      <c r="S132" s="59"/>
      <c r="T132" s="61"/>
    </row>
    <row r="133" spans="9:20" x14ac:dyDescent="0.25">
      <c r="I133" s="57"/>
      <c r="J133" s="58"/>
      <c r="K133" s="59"/>
      <c r="L133" s="59"/>
      <c r="M133" s="59"/>
      <c r="N133" s="59"/>
      <c r="O133" s="59"/>
      <c r="P133" s="60"/>
      <c r="Q133" s="59"/>
      <c r="R133" s="60"/>
      <c r="S133" s="59"/>
      <c r="T133" s="61"/>
    </row>
    <row r="134" spans="9:20" x14ac:dyDescent="0.25">
      <c r="I134" s="57"/>
      <c r="J134" s="58"/>
      <c r="K134" s="59"/>
      <c r="L134" s="59"/>
      <c r="M134" s="59"/>
      <c r="N134" s="59"/>
      <c r="O134" s="59"/>
      <c r="P134" s="60"/>
      <c r="Q134" s="59"/>
      <c r="R134" s="60"/>
      <c r="S134" s="59"/>
      <c r="T134" s="61"/>
    </row>
    <row r="135" spans="9:20" x14ac:dyDescent="0.25">
      <c r="I135" s="57"/>
      <c r="J135" s="58"/>
      <c r="K135" s="59"/>
      <c r="L135" s="59"/>
      <c r="M135" s="59"/>
      <c r="N135" s="59"/>
      <c r="O135" s="59"/>
      <c r="P135" s="60"/>
      <c r="Q135" s="59"/>
      <c r="R135" s="60"/>
      <c r="S135" s="59"/>
      <c r="T135" s="61"/>
    </row>
    <row r="136" spans="9:20" x14ac:dyDescent="0.25">
      <c r="I136" s="57"/>
      <c r="J136" s="58"/>
      <c r="K136" s="59"/>
      <c r="L136" s="59"/>
      <c r="M136" s="59"/>
      <c r="N136" s="59"/>
      <c r="O136" s="59"/>
      <c r="P136" s="60"/>
      <c r="Q136" s="59"/>
      <c r="R136" s="60"/>
      <c r="S136" s="59"/>
      <c r="T136" s="61"/>
    </row>
    <row r="137" spans="9:20" x14ac:dyDescent="0.25">
      <c r="I137" s="57"/>
      <c r="J137" s="58"/>
      <c r="K137" s="59"/>
      <c r="L137" s="59"/>
      <c r="M137" s="59"/>
      <c r="N137" s="59"/>
      <c r="O137" s="59"/>
      <c r="P137" s="60"/>
      <c r="Q137" s="59"/>
      <c r="R137" s="60"/>
      <c r="S137" s="59"/>
      <c r="T137" s="61"/>
    </row>
    <row r="138" spans="9:20" x14ac:dyDescent="0.25">
      <c r="I138" s="57"/>
      <c r="J138" s="58"/>
      <c r="K138" s="59"/>
      <c r="L138" s="59"/>
      <c r="M138" s="59"/>
      <c r="N138" s="59"/>
      <c r="O138" s="59"/>
      <c r="P138" s="60"/>
      <c r="Q138" s="59"/>
      <c r="R138" s="60"/>
      <c r="S138" s="59"/>
      <c r="T138" s="61"/>
    </row>
    <row r="139" spans="9:20" x14ac:dyDescent="0.25">
      <c r="I139" s="57"/>
      <c r="J139" s="58"/>
      <c r="K139" s="59"/>
      <c r="L139" s="59"/>
      <c r="M139" s="59"/>
      <c r="N139" s="59"/>
      <c r="O139" s="59"/>
      <c r="P139" s="60"/>
      <c r="Q139" s="59"/>
      <c r="R139" s="60"/>
      <c r="S139" s="59"/>
      <c r="T139" s="61"/>
    </row>
    <row r="140" spans="9:20" x14ac:dyDescent="0.25">
      <c r="I140" s="57"/>
      <c r="J140" s="58"/>
      <c r="K140" s="59"/>
      <c r="L140" s="59"/>
      <c r="M140" s="59"/>
      <c r="N140" s="59"/>
      <c r="O140" s="59"/>
      <c r="P140" s="60"/>
      <c r="Q140" s="59"/>
      <c r="R140" s="60"/>
      <c r="S140" s="59"/>
      <c r="T140" s="61"/>
    </row>
    <row r="141" spans="9:20" x14ac:dyDescent="0.25">
      <c r="I141" s="57"/>
      <c r="J141" s="58"/>
      <c r="K141" s="59"/>
      <c r="L141" s="59"/>
      <c r="M141" s="59"/>
      <c r="N141" s="59"/>
      <c r="O141" s="59"/>
      <c r="P141" s="60"/>
      <c r="Q141" s="59"/>
      <c r="R141" s="60"/>
      <c r="S141" s="59"/>
      <c r="T141" s="61"/>
    </row>
    <row r="142" spans="9:20" x14ac:dyDescent="0.25">
      <c r="I142" s="57"/>
      <c r="J142" s="58"/>
      <c r="K142" s="59"/>
      <c r="L142" s="59"/>
      <c r="M142" s="59"/>
      <c r="N142" s="59"/>
      <c r="O142" s="59"/>
      <c r="P142" s="60"/>
      <c r="Q142" s="59"/>
      <c r="R142" s="60"/>
      <c r="S142" s="59"/>
      <c r="T142" s="61"/>
    </row>
    <row r="143" spans="9:20" x14ac:dyDescent="0.25">
      <c r="I143" s="57"/>
      <c r="J143" s="58"/>
      <c r="K143" s="59"/>
      <c r="L143" s="59"/>
      <c r="M143" s="59"/>
      <c r="N143" s="59"/>
      <c r="O143" s="59"/>
      <c r="P143" s="60"/>
      <c r="Q143" s="59"/>
      <c r="R143" s="60"/>
      <c r="S143" s="59"/>
      <c r="T143" s="61"/>
    </row>
    <row r="144" spans="9:20" x14ac:dyDescent="0.25">
      <c r="I144" s="57"/>
      <c r="J144" s="58"/>
      <c r="K144" s="59"/>
      <c r="L144" s="59"/>
      <c r="M144" s="59"/>
      <c r="N144" s="59"/>
      <c r="O144" s="59"/>
      <c r="P144" s="60"/>
      <c r="Q144" s="59"/>
      <c r="R144" s="60"/>
      <c r="S144" s="59"/>
      <c r="T144" s="61"/>
    </row>
    <row r="145" spans="9:20" x14ac:dyDescent="0.25">
      <c r="I145" s="57"/>
      <c r="J145" s="58"/>
      <c r="K145" s="59"/>
      <c r="L145" s="59"/>
      <c r="M145" s="59"/>
      <c r="N145" s="59"/>
      <c r="O145" s="59"/>
      <c r="P145" s="60"/>
      <c r="Q145" s="59"/>
      <c r="R145" s="60"/>
      <c r="S145" s="59"/>
      <c r="T145" s="61"/>
    </row>
    <row r="146" spans="9:20" x14ac:dyDescent="0.25">
      <c r="I146" s="57"/>
      <c r="J146" s="58"/>
      <c r="K146" s="59"/>
      <c r="L146" s="59"/>
      <c r="M146" s="59"/>
      <c r="N146" s="59"/>
      <c r="O146" s="59"/>
      <c r="P146" s="60"/>
      <c r="Q146" s="59"/>
      <c r="R146" s="60"/>
      <c r="S146" s="59"/>
      <c r="T146" s="61"/>
    </row>
    <row r="147" spans="9:20" x14ac:dyDescent="0.25">
      <c r="I147" s="57"/>
      <c r="J147" s="58"/>
      <c r="K147" s="59"/>
      <c r="L147" s="59"/>
      <c r="M147" s="59"/>
      <c r="N147" s="59"/>
      <c r="O147" s="59"/>
      <c r="P147" s="60"/>
      <c r="Q147" s="59"/>
      <c r="R147" s="60"/>
      <c r="S147" s="59"/>
      <c r="T147" s="61"/>
    </row>
    <row r="148" spans="9:20" x14ac:dyDescent="0.25">
      <c r="I148" s="57"/>
      <c r="J148" s="58"/>
      <c r="K148" s="59"/>
      <c r="L148" s="59"/>
      <c r="M148" s="59"/>
      <c r="N148" s="59"/>
      <c r="O148" s="59"/>
      <c r="P148" s="60"/>
      <c r="Q148" s="59"/>
      <c r="R148" s="60"/>
      <c r="S148" s="59"/>
      <c r="T148" s="61"/>
    </row>
    <row r="149" spans="9:20" x14ac:dyDescent="0.25">
      <c r="I149" s="57"/>
      <c r="J149" s="58"/>
      <c r="K149" s="59"/>
      <c r="L149" s="59"/>
      <c r="M149" s="59"/>
      <c r="N149" s="59"/>
      <c r="O149" s="59"/>
      <c r="P149" s="60"/>
      <c r="Q149" s="59"/>
      <c r="R149" s="60"/>
      <c r="S149" s="59"/>
      <c r="T149" s="61"/>
    </row>
    <row r="150" spans="9:20" x14ac:dyDescent="0.25">
      <c r="I150" s="57"/>
      <c r="J150" s="58"/>
      <c r="K150" s="59"/>
      <c r="L150" s="59"/>
      <c r="M150" s="59"/>
      <c r="N150" s="59"/>
      <c r="O150" s="59"/>
      <c r="P150" s="60"/>
      <c r="Q150" s="59"/>
      <c r="R150" s="60"/>
      <c r="S150" s="59"/>
      <c r="T150" s="61"/>
    </row>
    <row r="151" spans="9:20" x14ac:dyDescent="0.25">
      <c r="I151" s="57"/>
      <c r="J151" s="58"/>
      <c r="K151" s="59"/>
      <c r="L151" s="59"/>
      <c r="M151" s="59"/>
      <c r="N151" s="59"/>
      <c r="O151" s="59"/>
      <c r="P151" s="60"/>
      <c r="Q151" s="59"/>
      <c r="R151" s="60"/>
      <c r="S151" s="59"/>
      <c r="T151" s="61"/>
    </row>
    <row r="152" spans="9:20" x14ac:dyDescent="0.25">
      <c r="I152" s="57"/>
      <c r="J152" s="58"/>
      <c r="K152" s="59"/>
      <c r="L152" s="59"/>
      <c r="M152" s="59"/>
      <c r="N152" s="59"/>
      <c r="O152" s="59"/>
      <c r="P152" s="60"/>
      <c r="Q152" s="59"/>
      <c r="R152" s="60"/>
      <c r="S152" s="59"/>
      <c r="T152" s="61"/>
    </row>
    <row r="153" spans="9:20" x14ac:dyDescent="0.25">
      <c r="I153" s="57"/>
      <c r="J153" s="58"/>
      <c r="K153" s="59"/>
      <c r="L153" s="59"/>
      <c r="M153" s="59"/>
      <c r="N153" s="59"/>
      <c r="O153" s="59"/>
      <c r="P153" s="60"/>
      <c r="Q153" s="59"/>
      <c r="R153" s="60"/>
      <c r="S153" s="59"/>
      <c r="T153" s="61"/>
    </row>
    <row r="154" spans="9:20" x14ac:dyDescent="0.25">
      <c r="I154" s="57"/>
      <c r="J154" s="58"/>
      <c r="K154" s="59"/>
      <c r="L154" s="59"/>
      <c r="M154" s="59"/>
      <c r="N154" s="59"/>
      <c r="O154" s="59"/>
      <c r="P154" s="60"/>
      <c r="Q154" s="59"/>
      <c r="R154" s="60"/>
      <c r="S154" s="59"/>
      <c r="T154" s="61"/>
    </row>
    <row r="155" spans="9:20" x14ac:dyDescent="0.25">
      <c r="I155" s="57"/>
      <c r="J155" s="58"/>
      <c r="K155" s="59"/>
      <c r="L155" s="59"/>
      <c r="M155" s="59"/>
      <c r="N155" s="59"/>
      <c r="O155" s="59"/>
      <c r="P155" s="60"/>
      <c r="Q155" s="59"/>
      <c r="R155" s="60"/>
      <c r="S155" s="59"/>
      <c r="T155" s="61"/>
    </row>
    <row r="156" spans="9:20" x14ac:dyDescent="0.25">
      <c r="I156" s="57"/>
      <c r="J156" s="58"/>
      <c r="K156" s="59"/>
      <c r="L156" s="59"/>
      <c r="M156" s="59"/>
      <c r="N156" s="59"/>
      <c r="O156" s="59"/>
      <c r="P156" s="60"/>
      <c r="Q156" s="59"/>
      <c r="R156" s="60"/>
      <c r="S156" s="59"/>
      <c r="T156" s="61"/>
    </row>
    <row r="157" spans="9:20" x14ac:dyDescent="0.25">
      <c r="I157" s="57"/>
      <c r="J157" s="58"/>
      <c r="K157" s="59"/>
      <c r="L157" s="59"/>
      <c r="M157" s="59"/>
      <c r="N157" s="59"/>
      <c r="O157" s="59"/>
      <c r="P157" s="60"/>
      <c r="Q157" s="59"/>
      <c r="R157" s="60"/>
      <c r="S157" s="59"/>
      <c r="T157" s="61"/>
    </row>
    <row r="158" spans="9:20" x14ac:dyDescent="0.25">
      <c r="I158" s="57"/>
      <c r="J158" s="58"/>
      <c r="K158" s="59"/>
      <c r="L158" s="59"/>
      <c r="M158" s="59"/>
      <c r="N158" s="59"/>
      <c r="O158" s="59"/>
      <c r="P158" s="60"/>
      <c r="Q158" s="59"/>
      <c r="R158" s="60"/>
      <c r="S158" s="59"/>
      <c r="T158" s="61"/>
    </row>
    <row r="159" spans="9:20" x14ac:dyDescent="0.25">
      <c r="I159" s="57"/>
      <c r="J159" s="58"/>
      <c r="K159" s="59"/>
      <c r="L159" s="59"/>
      <c r="M159" s="59"/>
      <c r="N159" s="59"/>
      <c r="O159" s="59"/>
      <c r="P159" s="60"/>
      <c r="Q159" s="59"/>
      <c r="R159" s="60"/>
      <c r="S159" s="59"/>
      <c r="T159" s="61"/>
    </row>
    <row r="160" spans="9:20" x14ac:dyDescent="0.25">
      <c r="I160" s="57"/>
      <c r="J160" s="58"/>
      <c r="K160" s="59"/>
      <c r="L160" s="59"/>
      <c r="M160" s="59"/>
      <c r="N160" s="59"/>
      <c r="O160" s="59"/>
      <c r="P160" s="60"/>
      <c r="Q160" s="59"/>
      <c r="R160" s="60"/>
      <c r="S160" s="59"/>
      <c r="T160" s="61"/>
    </row>
    <row r="161" spans="9:20" x14ac:dyDescent="0.25">
      <c r="I161" s="57"/>
      <c r="J161" s="58"/>
      <c r="K161" s="59"/>
      <c r="L161" s="59"/>
      <c r="M161" s="59"/>
      <c r="N161" s="59"/>
      <c r="O161" s="59"/>
      <c r="P161" s="60"/>
      <c r="Q161" s="59"/>
      <c r="R161" s="60"/>
      <c r="S161" s="59"/>
      <c r="T161" s="61"/>
    </row>
    <row r="162" spans="9:20" x14ac:dyDescent="0.25">
      <c r="I162" s="57"/>
      <c r="J162" s="58"/>
      <c r="K162" s="59"/>
      <c r="L162" s="59"/>
      <c r="M162" s="59"/>
      <c r="N162" s="59"/>
      <c r="O162" s="59"/>
      <c r="P162" s="60"/>
      <c r="Q162" s="59"/>
      <c r="R162" s="60"/>
      <c r="S162" s="59"/>
      <c r="T162" s="61"/>
    </row>
    <row r="163" spans="9:20" x14ac:dyDescent="0.25">
      <c r="I163" s="57"/>
      <c r="J163" s="58"/>
      <c r="K163" s="59"/>
      <c r="L163" s="59"/>
      <c r="M163" s="59"/>
      <c r="N163" s="59"/>
      <c r="O163" s="59"/>
      <c r="P163" s="60"/>
      <c r="Q163" s="59"/>
      <c r="R163" s="60"/>
      <c r="S163" s="59"/>
      <c r="T163" s="61"/>
    </row>
    <row r="164" spans="9:20" x14ac:dyDescent="0.25">
      <c r="I164" s="57"/>
      <c r="J164" s="58"/>
      <c r="K164" s="59"/>
      <c r="L164" s="59"/>
      <c r="M164" s="59"/>
      <c r="N164" s="59"/>
      <c r="O164" s="59"/>
      <c r="P164" s="60"/>
      <c r="Q164" s="59"/>
      <c r="R164" s="60"/>
      <c r="S164" s="59"/>
      <c r="T164" s="61"/>
    </row>
    <row r="165" spans="9:20" x14ac:dyDescent="0.25">
      <c r="I165" s="57"/>
      <c r="J165" s="58"/>
      <c r="K165" s="59"/>
      <c r="L165" s="59"/>
      <c r="M165" s="59"/>
      <c r="N165" s="59"/>
      <c r="O165" s="59"/>
      <c r="P165" s="60"/>
      <c r="Q165" s="59"/>
      <c r="R165" s="60"/>
      <c r="S165" s="59"/>
      <c r="T165" s="61"/>
    </row>
    <row r="166" spans="9:20" x14ac:dyDescent="0.25">
      <c r="I166" s="57"/>
      <c r="J166" s="58"/>
      <c r="K166" s="59"/>
      <c r="L166" s="59"/>
      <c r="M166" s="59"/>
      <c r="N166" s="59"/>
      <c r="O166" s="59"/>
      <c r="P166" s="60"/>
      <c r="Q166" s="59"/>
      <c r="R166" s="60"/>
      <c r="S166" s="59"/>
      <c r="T166" s="61"/>
    </row>
    <row r="167" spans="9:20" x14ac:dyDescent="0.25">
      <c r="I167" s="57"/>
      <c r="J167" s="58"/>
      <c r="K167" s="59"/>
      <c r="L167" s="59"/>
      <c r="M167" s="59"/>
      <c r="N167" s="59"/>
      <c r="O167" s="59"/>
      <c r="P167" s="60"/>
      <c r="Q167" s="59"/>
      <c r="R167" s="60"/>
      <c r="S167" s="59"/>
      <c r="T167" s="61"/>
    </row>
    <row r="168" spans="9:20" x14ac:dyDescent="0.25">
      <c r="I168" s="57"/>
      <c r="J168" s="58"/>
      <c r="K168" s="59"/>
      <c r="L168" s="59"/>
      <c r="M168" s="59"/>
      <c r="N168" s="59"/>
      <c r="O168" s="59"/>
      <c r="P168" s="60"/>
      <c r="Q168" s="59"/>
      <c r="R168" s="60"/>
      <c r="S168" s="59"/>
      <c r="T168" s="61"/>
    </row>
    <row r="169" spans="9:20" x14ac:dyDescent="0.25">
      <c r="I169" s="57"/>
      <c r="J169" s="58"/>
      <c r="K169" s="59"/>
      <c r="L169" s="59"/>
      <c r="M169" s="59"/>
      <c r="N169" s="59"/>
      <c r="O169" s="59"/>
      <c r="P169" s="60"/>
      <c r="Q169" s="59"/>
      <c r="R169" s="60"/>
      <c r="S169" s="59"/>
      <c r="T169" s="61"/>
    </row>
    <row r="170" spans="9:20" x14ac:dyDescent="0.25">
      <c r="I170" s="57"/>
      <c r="J170" s="58"/>
      <c r="K170" s="59"/>
      <c r="L170" s="59"/>
      <c r="M170" s="59"/>
      <c r="N170" s="59"/>
      <c r="O170" s="59"/>
      <c r="P170" s="60"/>
      <c r="Q170" s="59"/>
      <c r="R170" s="60"/>
      <c r="S170" s="59"/>
      <c r="T170" s="61"/>
    </row>
    <row r="171" spans="9:20" x14ac:dyDescent="0.25">
      <c r="I171" s="57"/>
      <c r="J171" s="58"/>
      <c r="K171" s="59"/>
      <c r="L171" s="59"/>
      <c r="M171" s="59"/>
      <c r="N171" s="59"/>
      <c r="O171" s="59"/>
      <c r="P171" s="60"/>
      <c r="Q171" s="59"/>
      <c r="R171" s="60"/>
      <c r="S171" s="59"/>
      <c r="T171" s="61"/>
    </row>
    <row r="172" spans="9:20" x14ac:dyDescent="0.25">
      <c r="I172" s="57"/>
      <c r="J172" s="58"/>
      <c r="K172" s="59"/>
      <c r="L172" s="59"/>
      <c r="M172" s="59"/>
      <c r="N172" s="59"/>
      <c r="O172" s="59"/>
      <c r="P172" s="60"/>
      <c r="Q172" s="59"/>
      <c r="R172" s="60"/>
      <c r="S172" s="59"/>
      <c r="T172" s="61"/>
    </row>
    <row r="173" spans="9:20" x14ac:dyDescent="0.25">
      <c r="I173" s="57"/>
      <c r="J173" s="58"/>
      <c r="K173" s="59"/>
      <c r="L173" s="59"/>
      <c r="M173" s="59"/>
      <c r="N173" s="59"/>
      <c r="O173" s="59"/>
      <c r="P173" s="60"/>
      <c r="Q173" s="59"/>
      <c r="R173" s="60"/>
      <c r="S173" s="59"/>
      <c r="T173" s="61"/>
    </row>
    <row r="174" spans="9:20" x14ac:dyDescent="0.25">
      <c r="I174" s="57"/>
      <c r="J174" s="58"/>
      <c r="K174" s="59"/>
      <c r="L174" s="59"/>
      <c r="M174" s="59"/>
      <c r="N174" s="59"/>
      <c r="O174" s="59"/>
      <c r="P174" s="60"/>
      <c r="Q174" s="59"/>
      <c r="R174" s="60"/>
      <c r="S174" s="59"/>
      <c r="T174" s="61"/>
    </row>
    <row r="175" spans="9:20" x14ac:dyDescent="0.25">
      <c r="I175" s="57"/>
      <c r="J175" s="58"/>
      <c r="K175" s="59"/>
      <c r="L175" s="59"/>
      <c r="M175" s="59"/>
      <c r="N175" s="59"/>
      <c r="O175" s="59"/>
      <c r="P175" s="60"/>
      <c r="Q175" s="59"/>
      <c r="R175" s="60"/>
      <c r="S175" s="59"/>
      <c r="T175" s="61"/>
    </row>
    <row r="176" spans="9:20" x14ac:dyDescent="0.25">
      <c r="I176" s="57"/>
      <c r="J176" s="58"/>
      <c r="K176" s="59"/>
      <c r="L176" s="59"/>
      <c r="M176" s="59"/>
      <c r="N176" s="59"/>
      <c r="O176" s="59"/>
      <c r="P176" s="60"/>
      <c r="Q176" s="59"/>
      <c r="R176" s="60"/>
      <c r="S176" s="59"/>
      <c r="T176" s="61"/>
    </row>
    <row r="177" spans="9:20" x14ac:dyDescent="0.25">
      <c r="I177" s="64"/>
      <c r="J177" s="65"/>
      <c r="K177" s="66"/>
      <c r="L177" s="66"/>
      <c r="M177" s="66"/>
      <c r="N177" s="66"/>
      <c r="O177" s="66"/>
      <c r="P177" s="67"/>
      <c r="Q177" s="66"/>
      <c r="R177" s="67"/>
      <c r="S177" s="66"/>
      <c r="T177" s="68"/>
    </row>
    <row r="178" spans="9:20" x14ac:dyDescent="0.25">
      <c r="I178" s="57"/>
      <c r="J178" s="58"/>
      <c r="K178" s="59"/>
      <c r="L178" s="59"/>
      <c r="M178" s="59"/>
      <c r="N178" s="59"/>
      <c r="O178" s="59"/>
      <c r="P178" s="60"/>
      <c r="Q178" s="59"/>
      <c r="R178" s="60"/>
      <c r="S178" s="59"/>
      <c r="T178" s="61"/>
    </row>
    <row r="179" spans="9:20" x14ac:dyDescent="0.25">
      <c r="I179" s="57"/>
      <c r="J179" s="58"/>
      <c r="K179" s="59"/>
      <c r="L179" s="59"/>
      <c r="M179" s="59"/>
      <c r="N179" s="59"/>
      <c r="O179" s="59"/>
      <c r="P179" s="60"/>
      <c r="Q179" s="59"/>
      <c r="R179" s="60"/>
      <c r="S179" s="59"/>
      <c r="T179" s="61"/>
    </row>
  </sheetData>
  <mergeCells count="5">
    <mergeCell ref="B8:D8"/>
    <mergeCell ref="B10:D10"/>
    <mergeCell ref="B12:D12"/>
    <mergeCell ref="M8:N8"/>
    <mergeCell ref="D1:I2"/>
  </mergeCells>
  <dataValidations count="5">
    <dataValidation type="list" allowBlank="1" showInputMessage="1" showErrorMessage="1" sqref="B8:D8">
      <formula1>TipoEntrada</formula1>
    </dataValidation>
    <dataValidation type="list" allowBlank="1" showInputMessage="1" showErrorMessage="1" sqref="B10">
      <formula1>TipoSaida</formula1>
    </dataValidation>
    <dataValidation type="whole" allowBlank="1" showInputMessage="1" showErrorMessage="1" sqref="B14">
      <formula1>1</formula1>
      <formula2>31</formula2>
    </dataValidation>
    <dataValidation type="list" allowBlank="1" showInputMessage="1" showErrorMessage="1" sqref="D14">
      <formula1>Meses</formula1>
    </dataValidation>
    <dataValidation type="whole" allowBlank="1" showInputMessage="1" showErrorMessage="1" sqref="F14">
      <formula1>2015</formula1>
      <formula2>2030</formula2>
    </dataValidation>
  </dataValidations>
  <pageMargins left="0.70866141732283472" right="0.70866141732283472" top="0.74803149606299213" bottom="0.74803149606299213" header="0.31496062992125984" footer="0.31496062992125984"/>
  <pageSetup paperSize="9" scale="41" orientation="portrait" horizontalDpi="0" verticalDpi="0" r:id="rId1"/>
  <headerFooter>
    <oddHeader>&amp;R&amp;P/&amp;N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56</vt:i4>
      </vt:variant>
    </vt:vector>
  </HeadingPairs>
  <TitlesOfParts>
    <vt:vector size="61" baseType="lpstr">
      <vt:lpstr>TABELAS</vt:lpstr>
      <vt:lpstr>PAINEL</vt:lpstr>
      <vt:lpstr>DADOS</vt:lpstr>
      <vt:lpstr>TABELAS PARA GRAFICOS</vt:lpstr>
      <vt:lpstr>RELATORIO</vt:lpstr>
      <vt:lpstr>AcumuladoAno</vt:lpstr>
      <vt:lpstr>Ano</vt:lpstr>
      <vt:lpstr>AnoFluxo</vt:lpstr>
      <vt:lpstr>Anos</vt:lpstr>
      <vt:lpstr>Cheque</vt:lpstr>
      <vt:lpstr>Crédito</vt:lpstr>
      <vt:lpstr>RELATORIO!Criteria</vt:lpstr>
      <vt:lpstr>CriterioAno</vt:lpstr>
      <vt:lpstr>CriterioDespesa</vt:lpstr>
      <vt:lpstr>CriterioDia</vt:lpstr>
      <vt:lpstr>CriterioMes</vt:lpstr>
      <vt:lpstr>CriterioReceita</vt:lpstr>
      <vt:lpstr>Criterios</vt:lpstr>
      <vt:lpstr>Débito</vt:lpstr>
      <vt:lpstr>Descricao</vt:lpstr>
      <vt:lpstr>Despesa</vt:lpstr>
      <vt:lpstr>DespesaAno</vt:lpstr>
      <vt:lpstr>Dia</vt:lpstr>
      <vt:lpstr>Dinheiro</vt:lpstr>
      <vt:lpstr>DisplayA</vt:lpstr>
      <vt:lpstr>DisplayD</vt:lpstr>
      <vt:lpstr>DisplayF</vt:lpstr>
      <vt:lpstr>DisplayG</vt:lpstr>
      <vt:lpstr>DisplayR</vt:lpstr>
      <vt:lpstr>Doutor</vt:lpstr>
      <vt:lpstr>Doutores</vt:lpstr>
      <vt:lpstr>RELATORIO!Extract</vt:lpstr>
      <vt:lpstr>FluxoAno</vt:lpstr>
      <vt:lpstr>FormaPagamento</vt:lpstr>
      <vt:lpstr>LocalRelatorio</vt:lpstr>
      <vt:lpstr>Mes</vt:lpstr>
      <vt:lpstr>Meses</vt:lpstr>
      <vt:lpstr>OpcaoGrafico</vt:lpstr>
      <vt:lpstr>Pagamento</vt:lpstr>
      <vt:lpstr>Prazo</vt:lpstr>
      <vt:lpstr>ReceitaAno</vt:lpstr>
      <vt:lpstr>RelatorioAno</vt:lpstr>
      <vt:lpstr>RelatorioDespesa</vt:lpstr>
      <vt:lpstr>RelatorioDia</vt:lpstr>
      <vt:lpstr>RelatorioMes</vt:lpstr>
      <vt:lpstr>RelatorioReceita</vt:lpstr>
      <vt:lpstr>TGrafA</vt:lpstr>
      <vt:lpstr>TGrafDA</vt:lpstr>
      <vt:lpstr>TGrafDM</vt:lpstr>
      <vt:lpstr>TGrafFluxo</vt:lpstr>
      <vt:lpstr>TGrafM</vt:lpstr>
      <vt:lpstr>TipoEntrada</vt:lpstr>
      <vt:lpstr>TipoReceita</vt:lpstr>
      <vt:lpstr>TipoSaida</vt:lpstr>
      <vt:lpstr>TituloPainel</vt:lpstr>
      <vt:lpstr>Valor</vt:lpstr>
      <vt:lpstr>VisaoD</vt:lpstr>
      <vt:lpstr>VisaoF</vt:lpstr>
      <vt:lpstr>VisaoG</vt:lpstr>
      <vt:lpstr>VisaoL</vt:lpstr>
      <vt:lpstr>VisaoR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Guiraldello</dc:creator>
  <cp:lastModifiedBy>Leonardo Guiraldello</cp:lastModifiedBy>
  <cp:lastPrinted>2015-11-03T15:06:41Z</cp:lastPrinted>
  <dcterms:created xsi:type="dcterms:W3CDTF">2015-10-07T08:31:47Z</dcterms:created>
  <dcterms:modified xsi:type="dcterms:W3CDTF">2015-11-24T08:47:33Z</dcterms:modified>
</cp:coreProperties>
</file>